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C\Desktop\"/>
    </mc:Choice>
  </mc:AlternateContent>
  <bookViews>
    <workbookView xWindow="0" yWindow="0" windowWidth="23970" windowHeight="3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" i="1"/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" i="1"/>
  <c r="B3" i="1" l="1"/>
  <c r="Q4" i="1" s="1"/>
  <c r="Q33" i="1" l="1"/>
  <c r="Q92" i="1"/>
  <c r="G92" i="1" s="1"/>
  <c r="Q69" i="1"/>
  <c r="H69" i="1" s="1"/>
  <c r="Q213" i="1"/>
  <c r="H213" i="1" s="1"/>
  <c r="Q293" i="1"/>
  <c r="Q18" i="1"/>
  <c r="G18" i="1" s="1"/>
  <c r="Q86" i="1"/>
  <c r="F86" i="1" s="1"/>
  <c r="Q118" i="1"/>
  <c r="F118" i="1" s="1"/>
  <c r="Q166" i="1"/>
  <c r="Q198" i="1"/>
  <c r="H198" i="1" s="1"/>
  <c r="Q230" i="1"/>
  <c r="F230" i="1" s="1"/>
  <c r="Q278" i="1"/>
  <c r="H278" i="1" s="1"/>
  <c r="Q342" i="1"/>
  <c r="Q127" i="1"/>
  <c r="F127" i="1" s="1"/>
  <c r="Q175" i="1"/>
  <c r="F175" i="1" s="1"/>
  <c r="Q223" i="1"/>
  <c r="F223" i="1" s="1"/>
  <c r="Q271" i="1"/>
  <c r="F271" i="1" s="1"/>
  <c r="Q335" i="1"/>
  <c r="G4" i="1"/>
  <c r="Q26" i="1"/>
  <c r="G26" i="1" s="1"/>
  <c r="Q16" i="1"/>
  <c r="Q39" i="1"/>
  <c r="G39" i="1" s="1"/>
  <c r="Q37" i="1"/>
  <c r="F37" i="1" s="1"/>
  <c r="Q64" i="1"/>
  <c r="G64" i="1" s="1"/>
  <c r="Q96" i="1"/>
  <c r="Q128" i="1"/>
  <c r="H128" i="1" s="1"/>
  <c r="Q21" i="1"/>
  <c r="F21" i="1" s="1"/>
  <c r="Q49" i="1"/>
  <c r="F49" i="1" s="1"/>
  <c r="Q81" i="1"/>
  <c r="Q113" i="1"/>
  <c r="G113" i="1" s="1"/>
  <c r="Q137" i="1"/>
  <c r="H137" i="1" s="1"/>
  <c r="Q153" i="1"/>
  <c r="H153" i="1" s="1"/>
  <c r="Q169" i="1"/>
  <c r="Q185" i="1"/>
  <c r="H185" i="1" s="1"/>
  <c r="Q201" i="1"/>
  <c r="G201" i="1" s="1"/>
  <c r="Q217" i="1"/>
  <c r="H217" i="1" s="1"/>
  <c r="Q233" i="1"/>
  <c r="Q249" i="1"/>
  <c r="F249" i="1" s="1"/>
  <c r="Q265" i="1"/>
  <c r="H265" i="1" s="1"/>
  <c r="Q281" i="1"/>
  <c r="G281" i="1" s="1"/>
  <c r="Q297" i="1"/>
  <c r="Q313" i="1"/>
  <c r="Q329" i="1"/>
  <c r="G329" i="1" s="1"/>
  <c r="Q345" i="1"/>
  <c r="F345" i="1" s="1"/>
  <c r="Q361" i="1"/>
  <c r="Q25" i="1"/>
  <c r="H25" i="1" s="1"/>
  <c r="Q58" i="1"/>
  <c r="H58" i="1" s="1"/>
  <c r="Q74" i="1"/>
  <c r="H74" i="1" s="1"/>
  <c r="Q90" i="1"/>
  <c r="Q106" i="1"/>
  <c r="H106" i="1" s="1"/>
  <c r="Q122" i="1"/>
  <c r="G122" i="1" s="1"/>
  <c r="Q138" i="1"/>
  <c r="F138" i="1" s="1"/>
  <c r="Q154" i="1"/>
  <c r="Q170" i="1"/>
  <c r="H170" i="1" s="1"/>
  <c r="Q186" i="1"/>
  <c r="H186" i="1" s="1"/>
  <c r="Q202" i="1"/>
  <c r="F202" i="1" s="1"/>
  <c r="Q218" i="1"/>
  <c r="Q234" i="1"/>
  <c r="H234" i="1" s="1"/>
  <c r="Q250" i="1"/>
  <c r="F250" i="1" s="1"/>
  <c r="Q266" i="1"/>
  <c r="F266" i="1" s="1"/>
  <c r="Q282" i="1"/>
  <c r="Q298" i="1"/>
  <c r="H298" i="1" s="1"/>
  <c r="Q314" i="1"/>
  <c r="Q330" i="1"/>
  <c r="F330" i="1" s="1"/>
  <c r="Q346" i="1"/>
  <c r="Q362" i="1"/>
  <c r="Q15" i="1"/>
  <c r="G15" i="1" s="1"/>
  <c r="Q51" i="1"/>
  <c r="F51" i="1" s="1"/>
  <c r="Q67" i="1"/>
  <c r="F67" i="1" s="1"/>
  <c r="Q83" i="1"/>
  <c r="F83" i="1" s="1"/>
  <c r="Q99" i="1"/>
  <c r="F99" i="1" s="1"/>
  <c r="Q115" i="1"/>
  <c r="F115" i="1" s="1"/>
  <c r="Q131" i="1"/>
  <c r="F131" i="1" s="1"/>
  <c r="Q147" i="1"/>
  <c r="F147" i="1" s="1"/>
  <c r="Q163" i="1"/>
  <c r="F163" i="1" s="1"/>
  <c r="Q179" i="1"/>
  <c r="F179" i="1" s="1"/>
  <c r="Q195" i="1"/>
  <c r="F195" i="1" s="1"/>
  <c r="Q211" i="1"/>
  <c r="F211" i="1" s="1"/>
  <c r="Q227" i="1"/>
  <c r="F227" i="1" s="1"/>
  <c r="Q243" i="1"/>
  <c r="F243" i="1" s="1"/>
  <c r="Q259" i="1"/>
  <c r="F259" i="1" s="1"/>
  <c r="Q275" i="1"/>
  <c r="F275" i="1" s="1"/>
  <c r="Q291" i="1"/>
  <c r="F291" i="1" s="1"/>
  <c r="Q307" i="1"/>
  <c r="F307" i="1" s="1"/>
  <c r="Q323" i="1"/>
  <c r="Q343" i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330" i="1"/>
  <c r="J334" i="1"/>
  <c r="J338" i="1"/>
  <c r="J342" i="1"/>
  <c r="J346" i="1"/>
  <c r="J350" i="1"/>
  <c r="J354" i="1"/>
  <c r="J358" i="1"/>
  <c r="J362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8" i="1"/>
  <c r="J16" i="1"/>
  <c r="J24" i="1"/>
  <c r="J32" i="1"/>
  <c r="J40" i="1"/>
  <c r="J48" i="1"/>
  <c r="J56" i="1"/>
  <c r="J64" i="1"/>
  <c r="J72" i="1"/>
  <c r="J80" i="1"/>
  <c r="J88" i="1"/>
  <c r="J96" i="1"/>
  <c r="J104" i="1"/>
  <c r="J112" i="1"/>
  <c r="J120" i="1"/>
  <c r="J128" i="1"/>
  <c r="J136" i="1"/>
  <c r="J144" i="1"/>
  <c r="J152" i="1"/>
  <c r="J160" i="1"/>
  <c r="J168" i="1"/>
  <c r="J176" i="1"/>
  <c r="J184" i="1"/>
  <c r="J192" i="1"/>
  <c r="J200" i="1"/>
  <c r="J208" i="1"/>
  <c r="J216" i="1"/>
  <c r="J224" i="1"/>
  <c r="J232" i="1"/>
  <c r="J240" i="1"/>
  <c r="J248" i="1"/>
  <c r="J256" i="1"/>
  <c r="J264" i="1"/>
  <c r="J272" i="1"/>
  <c r="J280" i="1"/>
  <c r="J288" i="1"/>
  <c r="J296" i="1"/>
  <c r="J304" i="1"/>
  <c r="J312" i="1"/>
  <c r="J320" i="1"/>
  <c r="J328" i="1"/>
  <c r="J336" i="1"/>
  <c r="J344" i="1"/>
  <c r="J352" i="1"/>
  <c r="J360" i="1"/>
  <c r="G16" i="1"/>
  <c r="F18" i="1"/>
  <c r="J9" i="1"/>
  <c r="J17" i="1"/>
  <c r="J25" i="1"/>
  <c r="J33" i="1"/>
  <c r="J41" i="1"/>
  <c r="J49" i="1"/>
  <c r="J57" i="1"/>
  <c r="J65" i="1"/>
  <c r="J73" i="1"/>
  <c r="J81" i="1"/>
  <c r="J89" i="1"/>
  <c r="J97" i="1"/>
  <c r="J105" i="1"/>
  <c r="J113" i="1"/>
  <c r="J121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281" i="1"/>
  <c r="J289" i="1"/>
  <c r="J297" i="1"/>
  <c r="J305" i="1"/>
  <c r="J313" i="1"/>
  <c r="J321" i="1"/>
  <c r="J329" i="1"/>
  <c r="J337" i="1"/>
  <c r="J345" i="1"/>
  <c r="J353" i="1"/>
  <c r="J361" i="1"/>
  <c r="H16" i="1"/>
  <c r="J12" i="1"/>
  <c r="J28" i="1"/>
  <c r="J44" i="1"/>
  <c r="J60" i="1"/>
  <c r="J76" i="1"/>
  <c r="J92" i="1"/>
  <c r="J108" i="1"/>
  <c r="J124" i="1"/>
  <c r="J140" i="1"/>
  <c r="J156" i="1"/>
  <c r="J172" i="1"/>
  <c r="J188" i="1"/>
  <c r="J204" i="1"/>
  <c r="J220" i="1"/>
  <c r="J236" i="1"/>
  <c r="J252" i="1"/>
  <c r="J268" i="1"/>
  <c r="J284" i="1"/>
  <c r="J300" i="1"/>
  <c r="J316" i="1"/>
  <c r="J332" i="1"/>
  <c r="J348" i="1"/>
  <c r="J3" i="1"/>
  <c r="Q35" i="1"/>
  <c r="F35" i="1" s="1"/>
  <c r="Q56" i="1"/>
  <c r="G56" i="1" s="1"/>
  <c r="Q77" i="1"/>
  <c r="F77" i="1" s="1"/>
  <c r="Q88" i="1"/>
  <c r="G88" i="1" s="1"/>
  <c r="Q109" i="1"/>
  <c r="F109" i="1" s="1"/>
  <c r="Q120" i="1"/>
  <c r="G120" i="1" s="1"/>
  <c r="J13" i="1"/>
  <c r="J29" i="1"/>
  <c r="J45" i="1"/>
  <c r="J61" i="1"/>
  <c r="J77" i="1"/>
  <c r="J93" i="1"/>
  <c r="J109" i="1"/>
  <c r="J125" i="1"/>
  <c r="J141" i="1"/>
  <c r="J157" i="1"/>
  <c r="J173" i="1"/>
  <c r="J189" i="1"/>
  <c r="J205" i="1"/>
  <c r="J221" i="1"/>
  <c r="J237" i="1"/>
  <c r="J253" i="1"/>
  <c r="J269" i="1"/>
  <c r="J285" i="1"/>
  <c r="J301" i="1"/>
  <c r="J317" i="1"/>
  <c r="J333" i="1"/>
  <c r="J349" i="1"/>
  <c r="Q57" i="1"/>
  <c r="F57" i="1" s="1"/>
  <c r="Q68" i="1"/>
  <c r="H68" i="1" s="1"/>
  <c r="Q89" i="1"/>
  <c r="F89" i="1" s="1"/>
  <c r="Q100" i="1"/>
  <c r="G100" i="1" s="1"/>
  <c r="Q121" i="1"/>
  <c r="F121" i="1" s="1"/>
  <c r="Q132" i="1"/>
  <c r="F132" i="1" s="1"/>
  <c r="Q140" i="1"/>
  <c r="F140" i="1" s="1"/>
  <c r="Q148" i="1"/>
  <c r="F148" i="1" s="1"/>
  <c r="Q156" i="1"/>
  <c r="F156" i="1" s="1"/>
  <c r="Q164" i="1"/>
  <c r="F164" i="1" s="1"/>
  <c r="Q172" i="1"/>
  <c r="F172" i="1" s="1"/>
  <c r="Q180" i="1"/>
  <c r="H180" i="1" s="1"/>
  <c r="Q188" i="1"/>
  <c r="F188" i="1" s="1"/>
  <c r="Q196" i="1"/>
  <c r="F196" i="1" s="1"/>
  <c r="Q204" i="1"/>
  <c r="F204" i="1" s="1"/>
  <c r="Q212" i="1"/>
  <c r="F212" i="1" s="1"/>
  <c r="Q220" i="1"/>
  <c r="F220" i="1" s="1"/>
  <c r="Q228" i="1"/>
  <c r="F228" i="1" s="1"/>
  <c r="Q236" i="1"/>
  <c r="G236" i="1" s="1"/>
  <c r="Q244" i="1"/>
  <c r="F244" i="1" s="1"/>
  <c r="Q252" i="1"/>
  <c r="F252" i="1" s="1"/>
  <c r="Q260" i="1"/>
  <c r="G260" i="1" s="1"/>
  <c r="Q268" i="1"/>
  <c r="F268" i="1" s="1"/>
  <c r="Q276" i="1"/>
  <c r="F276" i="1" s="1"/>
  <c r="Q284" i="1"/>
  <c r="F284" i="1" s="1"/>
  <c r="Q292" i="1"/>
  <c r="G292" i="1" s="1"/>
  <c r="Q300" i="1"/>
  <c r="F300" i="1" s="1"/>
  <c r="Q308" i="1"/>
  <c r="Q316" i="1"/>
  <c r="F316" i="1" s="1"/>
  <c r="Q324" i="1"/>
  <c r="G324" i="1" s="1"/>
  <c r="Q332" i="1"/>
  <c r="H332" i="1" s="1"/>
  <c r="Q340" i="1"/>
  <c r="Q348" i="1"/>
  <c r="F348" i="1" s="1"/>
  <c r="J4" i="1"/>
  <c r="J20" i="1"/>
  <c r="J36" i="1"/>
  <c r="J52" i="1"/>
  <c r="J68" i="1"/>
  <c r="J84" i="1"/>
  <c r="J100" i="1"/>
  <c r="J116" i="1"/>
  <c r="J132" i="1"/>
  <c r="J148" i="1"/>
  <c r="J164" i="1"/>
  <c r="J180" i="1"/>
  <c r="J196" i="1"/>
  <c r="J212" i="1"/>
  <c r="J228" i="1"/>
  <c r="J244" i="1"/>
  <c r="J260" i="1"/>
  <c r="J276" i="1"/>
  <c r="J292" i="1"/>
  <c r="J308" i="1"/>
  <c r="J324" i="1"/>
  <c r="J340" i="1"/>
  <c r="J356" i="1"/>
  <c r="Q8" i="1"/>
  <c r="H8" i="1" s="1"/>
  <c r="Q29" i="1"/>
  <c r="F29" i="1" s="1"/>
  <c r="Q40" i="1"/>
  <c r="G40" i="1" s="1"/>
  <c r="Q61" i="1"/>
  <c r="G61" i="1" s="1"/>
  <c r="Q72" i="1"/>
  <c r="H72" i="1" s="1"/>
  <c r="Q93" i="1"/>
  <c r="F93" i="1" s="1"/>
  <c r="Q104" i="1"/>
  <c r="H104" i="1" s="1"/>
  <c r="Q125" i="1"/>
  <c r="H125" i="1" s="1"/>
  <c r="J37" i="1"/>
  <c r="J101" i="1"/>
  <c r="J165" i="1"/>
  <c r="J229" i="1"/>
  <c r="J293" i="1"/>
  <c r="J357" i="1"/>
  <c r="Q41" i="1"/>
  <c r="H41" i="1" s="1"/>
  <c r="Q84" i="1"/>
  <c r="G84" i="1" s="1"/>
  <c r="Q160" i="1"/>
  <c r="H160" i="1" s="1"/>
  <c r="Q192" i="1"/>
  <c r="H192" i="1" s="1"/>
  <c r="Q224" i="1"/>
  <c r="H224" i="1" s="1"/>
  <c r="Q256" i="1"/>
  <c r="F256" i="1" s="1"/>
  <c r="Q288" i="1"/>
  <c r="F288" i="1" s="1"/>
  <c r="Q320" i="1"/>
  <c r="H320" i="1" s="1"/>
  <c r="Q344" i="1"/>
  <c r="F344" i="1" s="1"/>
  <c r="Q356" i="1"/>
  <c r="F33" i="1"/>
  <c r="H33" i="1"/>
  <c r="H61" i="1"/>
  <c r="F81" i="1"/>
  <c r="G90" i="1"/>
  <c r="F113" i="1"/>
  <c r="J53" i="1"/>
  <c r="J117" i="1"/>
  <c r="J181" i="1"/>
  <c r="J245" i="1"/>
  <c r="J309" i="1"/>
  <c r="Q9" i="1"/>
  <c r="F9" i="1" s="1"/>
  <c r="Q52" i="1"/>
  <c r="F52" i="1" s="1"/>
  <c r="Q136" i="1"/>
  <c r="F136" i="1" s="1"/>
  <c r="Q168" i="1"/>
  <c r="F168" i="1" s="1"/>
  <c r="Q200" i="1"/>
  <c r="H200" i="1" s="1"/>
  <c r="Q232" i="1"/>
  <c r="H232" i="1" s="1"/>
  <c r="Q264" i="1"/>
  <c r="G264" i="1" s="1"/>
  <c r="Q296" i="1"/>
  <c r="G296" i="1" s="1"/>
  <c r="Q328" i="1"/>
  <c r="Q360" i="1"/>
  <c r="H360" i="1" s="1"/>
  <c r="F16" i="1"/>
  <c r="G81" i="1"/>
  <c r="F88" i="1"/>
  <c r="H90" i="1"/>
  <c r="F96" i="1"/>
  <c r="F120" i="1"/>
  <c r="J5" i="1"/>
  <c r="J69" i="1"/>
  <c r="J133" i="1"/>
  <c r="J197" i="1"/>
  <c r="J261" i="1"/>
  <c r="J325" i="1"/>
  <c r="Q20" i="1"/>
  <c r="G20" i="1" s="1"/>
  <c r="Q105" i="1"/>
  <c r="F105" i="1" s="1"/>
  <c r="Q144" i="1"/>
  <c r="H144" i="1" s="1"/>
  <c r="Q176" i="1"/>
  <c r="H176" i="1" s="1"/>
  <c r="Q208" i="1"/>
  <c r="H208" i="1" s="1"/>
  <c r="Q240" i="1"/>
  <c r="H240" i="1" s="1"/>
  <c r="Q272" i="1"/>
  <c r="H272" i="1" s="1"/>
  <c r="Q304" i="1"/>
  <c r="F304" i="1" s="1"/>
  <c r="Q336" i="1"/>
  <c r="F336" i="1" s="1"/>
  <c r="Q352" i="1"/>
  <c r="H352" i="1" s="1"/>
  <c r="H67" i="1"/>
  <c r="H81" i="1"/>
  <c r="G86" i="1"/>
  <c r="G96" i="1"/>
  <c r="F125" i="1"/>
  <c r="J149" i="1"/>
  <c r="Q31" i="1"/>
  <c r="G31" i="1" s="1"/>
  <c r="Q184" i="1"/>
  <c r="H184" i="1" s="1"/>
  <c r="Q312" i="1"/>
  <c r="F154" i="1"/>
  <c r="H166" i="1"/>
  <c r="F180" i="1"/>
  <c r="F218" i="1"/>
  <c r="F260" i="1"/>
  <c r="F282" i="1"/>
  <c r="G293" i="1"/>
  <c r="F308" i="1"/>
  <c r="F312" i="1"/>
  <c r="G313" i="1"/>
  <c r="H314" i="1"/>
  <c r="F324" i="1"/>
  <c r="F328" i="1"/>
  <c r="F340" i="1"/>
  <c r="H342" i="1"/>
  <c r="H346" i="1"/>
  <c r="F356" i="1"/>
  <c r="G361" i="1"/>
  <c r="H362" i="1"/>
  <c r="Q152" i="1"/>
  <c r="F152" i="1" s="1"/>
  <c r="G198" i="1"/>
  <c r="G314" i="1"/>
  <c r="G342" i="1"/>
  <c r="G346" i="1"/>
  <c r="G362" i="1"/>
  <c r="J213" i="1"/>
  <c r="Q73" i="1"/>
  <c r="F73" i="1" s="1"/>
  <c r="Q216" i="1"/>
  <c r="F216" i="1" s="1"/>
  <c r="Q339" i="1"/>
  <c r="F339" i="1" s="1"/>
  <c r="F90" i="1"/>
  <c r="H96" i="1"/>
  <c r="G154" i="1"/>
  <c r="F169" i="1"/>
  <c r="G170" i="1"/>
  <c r="G212" i="1"/>
  <c r="G218" i="1"/>
  <c r="F233" i="1"/>
  <c r="G234" i="1"/>
  <c r="G244" i="1"/>
  <c r="H271" i="1"/>
  <c r="G282" i="1"/>
  <c r="H293" i="1"/>
  <c r="F297" i="1"/>
  <c r="G308" i="1"/>
  <c r="G312" i="1"/>
  <c r="H313" i="1"/>
  <c r="G320" i="1"/>
  <c r="F323" i="1"/>
  <c r="G328" i="1"/>
  <c r="H329" i="1"/>
  <c r="F335" i="1"/>
  <c r="G340" i="1"/>
  <c r="F343" i="1"/>
  <c r="G356" i="1"/>
  <c r="H361" i="1"/>
  <c r="J341" i="1"/>
  <c r="G33" i="1"/>
  <c r="G160" i="1"/>
  <c r="G166" i="1"/>
  <c r="H169" i="1"/>
  <c r="H233" i="1"/>
  <c r="H259" i="1"/>
  <c r="F293" i="1"/>
  <c r="H297" i="1"/>
  <c r="F313" i="1"/>
  <c r="F329" i="1"/>
  <c r="H343" i="1"/>
  <c r="F361" i="1"/>
  <c r="J21" i="1"/>
  <c r="J277" i="1"/>
  <c r="Q116" i="1"/>
  <c r="G116" i="1" s="1"/>
  <c r="Q248" i="1"/>
  <c r="F248" i="1" s="1"/>
  <c r="F144" i="1"/>
  <c r="H154" i="1"/>
  <c r="F166" i="1"/>
  <c r="G169" i="1"/>
  <c r="H212" i="1"/>
  <c r="H218" i="1"/>
  <c r="G233" i="1"/>
  <c r="H244" i="1"/>
  <c r="H282" i="1"/>
  <c r="G297" i="1"/>
  <c r="H308" i="1"/>
  <c r="H312" i="1"/>
  <c r="F314" i="1"/>
  <c r="H316" i="1"/>
  <c r="G323" i="1"/>
  <c r="H324" i="1"/>
  <c r="H328" i="1"/>
  <c r="G335" i="1"/>
  <c r="H340" i="1"/>
  <c r="F342" i="1"/>
  <c r="G343" i="1"/>
  <c r="F346" i="1"/>
  <c r="H348" i="1"/>
  <c r="H356" i="1"/>
  <c r="F362" i="1"/>
  <c r="J85" i="1"/>
  <c r="Q280" i="1"/>
  <c r="G280" i="1" s="1"/>
  <c r="H131" i="1"/>
  <c r="H195" i="1"/>
  <c r="H323" i="1"/>
  <c r="H335" i="1"/>
  <c r="Q14" i="1"/>
  <c r="G14" i="1" s="1"/>
  <c r="Q30" i="1"/>
  <c r="F30" i="1" s="1"/>
  <c r="Q124" i="1"/>
  <c r="F124" i="1" s="1"/>
  <c r="Q101" i="1"/>
  <c r="H101" i="1" s="1"/>
  <c r="Q149" i="1"/>
  <c r="F149" i="1" s="1"/>
  <c r="Q181" i="1"/>
  <c r="G181" i="1" s="1"/>
  <c r="Q229" i="1"/>
  <c r="H229" i="1" s="1"/>
  <c r="Q261" i="1"/>
  <c r="F261" i="1" s="1"/>
  <c r="Q309" i="1"/>
  <c r="F309" i="1" s="1"/>
  <c r="Q325" i="1"/>
  <c r="F325" i="1" s="1"/>
  <c r="Q54" i="1"/>
  <c r="H54" i="1" s="1"/>
  <c r="Q70" i="1"/>
  <c r="G70" i="1" s="1"/>
  <c r="Q150" i="1"/>
  <c r="G150" i="1" s="1"/>
  <c r="Q182" i="1"/>
  <c r="H182" i="1" s="1"/>
  <c r="Q262" i="1"/>
  <c r="H262" i="1" s="1"/>
  <c r="Q294" i="1"/>
  <c r="H294" i="1" s="1"/>
  <c r="Q310" i="1"/>
  <c r="F310" i="1" s="1"/>
  <c r="Q358" i="1"/>
  <c r="G358" i="1" s="1"/>
  <c r="Q11" i="1"/>
  <c r="F11" i="1" s="1"/>
  <c r="Q63" i="1"/>
  <c r="F63" i="1" s="1"/>
  <c r="Q95" i="1"/>
  <c r="F95" i="1" s="1"/>
  <c r="Q143" i="1"/>
  <c r="F143" i="1" s="1"/>
  <c r="Q191" i="1"/>
  <c r="F191" i="1" s="1"/>
  <c r="Q239" i="1"/>
  <c r="F239" i="1" s="1"/>
  <c r="Q319" i="1"/>
  <c r="H319" i="1" s="1"/>
  <c r="F4" i="1"/>
  <c r="G271" i="1"/>
  <c r="Q22" i="1"/>
  <c r="F22" i="1" s="1"/>
  <c r="Q46" i="1"/>
  <c r="G46" i="1" s="1"/>
  <c r="Q23" i="1"/>
  <c r="G23" i="1" s="1"/>
  <c r="Q42" i="1"/>
  <c r="H42" i="1" s="1"/>
  <c r="Q44" i="1"/>
  <c r="G44" i="1" s="1"/>
  <c r="Q76" i="1"/>
  <c r="G76" i="1" s="1"/>
  <c r="Q108" i="1"/>
  <c r="G108" i="1" s="1"/>
  <c r="Q6" i="1"/>
  <c r="F6" i="1" s="1"/>
  <c r="Q24" i="1"/>
  <c r="G24" i="1" s="1"/>
  <c r="Q53" i="1"/>
  <c r="F53" i="1" s="1"/>
  <c r="Q85" i="1"/>
  <c r="F85" i="1" s="1"/>
  <c r="Q117" i="1"/>
  <c r="F117" i="1" s="1"/>
  <c r="Q141" i="1"/>
  <c r="G141" i="1" s="1"/>
  <c r="Q157" i="1"/>
  <c r="G157" i="1" s="1"/>
  <c r="Q173" i="1"/>
  <c r="G173" i="1" s="1"/>
  <c r="Q189" i="1"/>
  <c r="H189" i="1" s="1"/>
  <c r="Q205" i="1"/>
  <c r="G205" i="1" s="1"/>
  <c r="Q221" i="1"/>
  <c r="G221" i="1" s="1"/>
  <c r="Q237" i="1"/>
  <c r="G237" i="1" s="1"/>
  <c r="Q253" i="1"/>
  <c r="H253" i="1" s="1"/>
  <c r="Q269" i="1"/>
  <c r="G269" i="1" s="1"/>
  <c r="Q285" i="1"/>
  <c r="F285" i="1" s="1"/>
  <c r="Q301" i="1"/>
  <c r="G301" i="1" s="1"/>
  <c r="Q317" i="1"/>
  <c r="G317" i="1" s="1"/>
  <c r="Q333" i="1"/>
  <c r="G333" i="1" s="1"/>
  <c r="Q349" i="1"/>
  <c r="G349" i="1" s="1"/>
  <c r="Q7" i="1"/>
  <c r="G7" i="1" s="1"/>
  <c r="Q28" i="1"/>
  <c r="G28" i="1" s="1"/>
  <c r="Q62" i="1"/>
  <c r="F62" i="1" s="1"/>
  <c r="Q78" i="1"/>
  <c r="G78" i="1" s="1"/>
  <c r="Q94" i="1"/>
  <c r="F94" i="1" s="1"/>
  <c r="Q110" i="1"/>
  <c r="G110" i="1" s="1"/>
  <c r="Q126" i="1"/>
  <c r="F126" i="1" s="1"/>
  <c r="Q142" i="1"/>
  <c r="H142" i="1" s="1"/>
  <c r="Q158" i="1"/>
  <c r="F158" i="1" s="1"/>
  <c r="Q174" i="1"/>
  <c r="H174" i="1" s="1"/>
  <c r="Q190" i="1"/>
  <c r="F190" i="1" s="1"/>
  <c r="Q206" i="1"/>
  <c r="H206" i="1" s="1"/>
  <c r="Q222" i="1"/>
  <c r="G222" i="1" s="1"/>
  <c r="Q238" i="1"/>
  <c r="G238" i="1" s="1"/>
  <c r="Q254" i="1"/>
  <c r="F254" i="1" s="1"/>
  <c r="Q270" i="1"/>
  <c r="H270" i="1" s="1"/>
  <c r="Q286" i="1"/>
  <c r="F286" i="1" s="1"/>
  <c r="Q302" i="1"/>
  <c r="H302" i="1" s="1"/>
  <c r="Q318" i="1"/>
  <c r="H318" i="1" s="1"/>
  <c r="Q334" i="1"/>
  <c r="H334" i="1" s="1"/>
  <c r="Q350" i="1"/>
  <c r="H350" i="1" s="1"/>
  <c r="Q19" i="1"/>
  <c r="F19" i="1" s="1"/>
  <c r="Q55" i="1"/>
  <c r="F55" i="1" s="1"/>
  <c r="Q71" i="1"/>
  <c r="F71" i="1" s="1"/>
  <c r="Q87" i="1"/>
  <c r="F87" i="1" s="1"/>
  <c r="Q103" i="1"/>
  <c r="F103" i="1" s="1"/>
  <c r="Q119" i="1"/>
  <c r="F119" i="1" s="1"/>
  <c r="Q135" i="1"/>
  <c r="F135" i="1" s="1"/>
  <c r="Q151" i="1"/>
  <c r="F151" i="1" s="1"/>
  <c r="Q167" i="1"/>
  <c r="F167" i="1" s="1"/>
  <c r="Q183" i="1"/>
  <c r="F183" i="1" s="1"/>
  <c r="Q199" i="1"/>
  <c r="F199" i="1" s="1"/>
  <c r="Q215" i="1"/>
  <c r="F215" i="1" s="1"/>
  <c r="Q231" i="1"/>
  <c r="F231" i="1" s="1"/>
  <c r="Q247" i="1"/>
  <c r="F247" i="1" s="1"/>
  <c r="Q263" i="1"/>
  <c r="F263" i="1" s="1"/>
  <c r="Q279" i="1"/>
  <c r="F279" i="1" s="1"/>
  <c r="Q295" i="1"/>
  <c r="F295" i="1" s="1"/>
  <c r="Q311" i="1"/>
  <c r="G311" i="1" s="1"/>
  <c r="Q327" i="1"/>
  <c r="H327" i="1" s="1"/>
  <c r="Q347" i="1"/>
  <c r="G347" i="1" s="1"/>
  <c r="Q36" i="1"/>
  <c r="F36" i="1" s="1"/>
  <c r="Q12" i="1"/>
  <c r="H12" i="1" s="1"/>
  <c r="Q60" i="1"/>
  <c r="G60" i="1" s="1"/>
  <c r="Q17" i="1"/>
  <c r="G17" i="1" s="1"/>
  <c r="Q45" i="1"/>
  <c r="F45" i="1" s="1"/>
  <c r="Q133" i="1"/>
  <c r="H133" i="1" s="1"/>
  <c r="Q165" i="1"/>
  <c r="H165" i="1" s="1"/>
  <c r="Q197" i="1"/>
  <c r="H197" i="1" s="1"/>
  <c r="Q245" i="1"/>
  <c r="F245" i="1" s="1"/>
  <c r="Q277" i="1"/>
  <c r="G277" i="1" s="1"/>
  <c r="Q341" i="1"/>
  <c r="F341" i="1" s="1"/>
  <c r="Q357" i="1"/>
  <c r="F357" i="1" s="1"/>
  <c r="Q102" i="1"/>
  <c r="G102" i="1" s="1"/>
  <c r="Q134" i="1"/>
  <c r="H134" i="1" s="1"/>
  <c r="Q214" i="1"/>
  <c r="G214" i="1" s="1"/>
  <c r="Q246" i="1"/>
  <c r="G246" i="1" s="1"/>
  <c r="Q326" i="1"/>
  <c r="F326" i="1" s="1"/>
  <c r="Q47" i="1"/>
  <c r="G47" i="1" s="1"/>
  <c r="Q79" i="1"/>
  <c r="F79" i="1" s="1"/>
  <c r="Q111" i="1"/>
  <c r="F111" i="1" s="1"/>
  <c r="Q159" i="1"/>
  <c r="F159" i="1" s="1"/>
  <c r="Q207" i="1"/>
  <c r="F207" i="1" s="1"/>
  <c r="Q255" i="1"/>
  <c r="F255" i="1" s="1"/>
  <c r="Q287" i="1"/>
  <c r="F287" i="1" s="1"/>
  <c r="Q303" i="1"/>
  <c r="G303" i="1" s="1"/>
  <c r="Q359" i="1"/>
  <c r="H359" i="1" s="1"/>
  <c r="H4" i="1"/>
  <c r="F23" i="1"/>
  <c r="G67" i="1"/>
  <c r="G131" i="1"/>
  <c r="G195" i="1"/>
  <c r="G259" i="1"/>
  <c r="Q34" i="1"/>
  <c r="F34" i="1" s="1"/>
  <c r="Q5" i="1"/>
  <c r="F5" i="1" s="1"/>
  <c r="Q27" i="1"/>
  <c r="F27" i="1" s="1"/>
  <c r="Q50" i="1"/>
  <c r="G50" i="1" s="1"/>
  <c r="Q48" i="1"/>
  <c r="G48" i="1" s="1"/>
  <c r="Q80" i="1"/>
  <c r="F80" i="1" s="1"/>
  <c r="Q112" i="1"/>
  <c r="H112" i="1" s="1"/>
  <c r="Q13" i="1"/>
  <c r="F13" i="1" s="1"/>
  <c r="Q38" i="1"/>
  <c r="G38" i="1" s="1"/>
  <c r="Q65" i="1"/>
  <c r="F65" i="1" s="1"/>
  <c r="Q97" i="1"/>
  <c r="F97" i="1" s="1"/>
  <c r="Q129" i="1"/>
  <c r="F129" i="1" s="1"/>
  <c r="Q145" i="1"/>
  <c r="G145" i="1" s="1"/>
  <c r="Q161" i="1"/>
  <c r="F161" i="1" s="1"/>
  <c r="Q177" i="1"/>
  <c r="G177" i="1" s="1"/>
  <c r="Q193" i="1"/>
  <c r="F193" i="1" s="1"/>
  <c r="Q209" i="1"/>
  <c r="G209" i="1" s="1"/>
  <c r="Q225" i="1"/>
  <c r="H225" i="1" s="1"/>
  <c r="Q241" i="1"/>
  <c r="G241" i="1" s="1"/>
  <c r="Q257" i="1"/>
  <c r="F257" i="1" s="1"/>
  <c r="Q273" i="1"/>
  <c r="G273" i="1" s="1"/>
  <c r="Q289" i="1"/>
  <c r="F289" i="1" s="1"/>
  <c r="Q305" i="1"/>
  <c r="F305" i="1" s="1"/>
  <c r="Q321" i="1"/>
  <c r="F321" i="1" s="1"/>
  <c r="Q337" i="1"/>
  <c r="G337" i="1" s="1"/>
  <c r="Q353" i="1"/>
  <c r="G353" i="1" s="1"/>
  <c r="Q10" i="1"/>
  <c r="H10" i="1" s="1"/>
  <c r="Q32" i="1"/>
  <c r="F32" i="1" s="1"/>
  <c r="Q66" i="1"/>
  <c r="G66" i="1" s="1"/>
  <c r="Q82" i="1"/>
  <c r="G82" i="1" s="1"/>
  <c r="Q98" i="1"/>
  <c r="F98" i="1" s="1"/>
  <c r="Q114" i="1"/>
  <c r="G114" i="1" s="1"/>
  <c r="Q130" i="1"/>
  <c r="F130" i="1" s="1"/>
  <c r="Q146" i="1"/>
  <c r="G146" i="1" s="1"/>
  <c r="Q162" i="1"/>
  <c r="F162" i="1" s="1"/>
  <c r="Q178" i="1"/>
  <c r="G178" i="1" s="1"/>
  <c r="Q194" i="1"/>
  <c r="F194" i="1" s="1"/>
  <c r="Q210" i="1"/>
  <c r="G210" i="1" s="1"/>
  <c r="Q226" i="1"/>
  <c r="F226" i="1" s="1"/>
  <c r="Q242" i="1"/>
  <c r="G242" i="1" s="1"/>
  <c r="Q258" i="1"/>
  <c r="F258" i="1" s="1"/>
  <c r="Q274" i="1"/>
  <c r="G274" i="1" s="1"/>
  <c r="Q290" i="1"/>
  <c r="F290" i="1" s="1"/>
  <c r="Q306" i="1"/>
  <c r="H306" i="1" s="1"/>
  <c r="Q322" i="1"/>
  <c r="H322" i="1" s="1"/>
  <c r="Q338" i="1"/>
  <c r="H338" i="1" s="1"/>
  <c r="Q354" i="1"/>
  <c r="H354" i="1" s="1"/>
  <c r="Q3" i="1"/>
  <c r="F3" i="1" s="1"/>
  <c r="Q43" i="1"/>
  <c r="F43" i="1" s="1"/>
  <c r="Q59" i="1"/>
  <c r="F59" i="1" s="1"/>
  <c r="Q75" i="1"/>
  <c r="F75" i="1" s="1"/>
  <c r="Q91" i="1"/>
  <c r="F91" i="1" s="1"/>
  <c r="Q107" i="1"/>
  <c r="F107" i="1" s="1"/>
  <c r="Q123" i="1"/>
  <c r="F123" i="1" s="1"/>
  <c r="Q139" i="1"/>
  <c r="F139" i="1" s="1"/>
  <c r="Q155" i="1"/>
  <c r="F155" i="1" s="1"/>
  <c r="Q171" i="1"/>
  <c r="F171" i="1" s="1"/>
  <c r="Q187" i="1"/>
  <c r="F187" i="1" s="1"/>
  <c r="Q203" i="1"/>
  <c r="F203" i="1" s="1"/>
  <c r="Q219" i="1"/>
  <c r="F219" i="1" s="1"/>
  <c r="Q235" i="1"/>
  <c r="F235" i="1" s="1"/>
  <c r="Q251" i="1"/>
  <c r="F251" i="1" s="1"/>
  <c r="Q267" i="1"/>
  <c r="F267" i="1" s="1"/>
  <c r="Q283" i="1"/>
  <c r="F283" i="1" s="1"/>
  <c r="Q299" i="1"/>
  <c r="F299" i="1" s="1"/>
  <c r="Q315" i="1"/>
  <c r="H315" i="1" s="1"/>
  <c r="Q331" i="1"/>
  <c r="H331" i="1" s="1"/>
  <c r="Q351" i="1"/>
  <c r="G351" i="1" s="1"/>
  <c r="Q355" i="1"/>
  <c r="H355" i="1" s="1"/>
  <c r="K4" i="1"/>
  <c r="K8" i="1"/>
  <c r="K12" i="1"/>
  <c r="K16" i="1"/>
  <c r="K20" i="1"/>
  <c r="K24" i="1"/>
  <c r="K28" i="1"/>
  <c r="K32" i="1"/>
  <c r="K36" i="1"/>
  <c r="K40" i="1"/>
  <c r="K44" i="1"/>
  <c r="K48" i="1"/>
  <c r="K52" i="1"/>
  <c r="K56" i="1"/>
  <c r="K60" i="1"/>
  <c r="K64" i="1"/>
  <c r="K68" i="1"/>
  <c r="K72" i="1"/>
  <c r="K76" i="1"/>
  <c r="K80" i="1"/>
  <c r="K84" i="1"/>
  <c r="K88" i="1"/>
  <c r="K92" i="1"/>
  <c r="K96" i="1"/>
  <c r="K100" i="1"/>
  <c r="K104" i="1"/>
  <c r="K108" i="1"/>
  <c r="K112" i="1"/>
  <c r="K116" i="1"/>
  <c r="K120" i="1"/>
  <c r="K124" i="1"/>
  <c r="K128" i="1"/>
  <c r="K132" i="1"/>
  <c r="K136" i="1"/>
  <c r="K140" i="1"/>
  <c r="K144" i="1"/>
  <c r="K148" i="1"/>
  <c r="K152" i="1"/>
  <c r="K156" i="1"/>
  <c r="K160" i="1"/>
  <c r="K164" i="1"/>
  <c r="K168" i="1"/>
  <c r="K172" i="1"/>
  <c r="K176" i="1"/>
  <c r="K180" i="1"/>
  <c r="K184" i="1"/>
  <c r="K188" i="1"/>
  <c r="K192" i="1"/>
  <c r="K196" i="1"/>
  <c r="K200" i="1"/>
  <c r="K204" i="1"/>
  <c r="K208" i="1"/>
  <c r="K212" i="1"/>
  <c r="K216" i="1"/>
  <c r="K5" i="1"/>
  <c r="K10" i="1"/>
  <c r="K15" i="1"/>
  <c r="K21" i="1"/>
  <c r="K26" i="1"/>
  <c r="K31" i="1"/>
  <c r="K37" i="1"/>
  <c r="K42" i="1"/>
  <c r="K47" i="1"/>
  <c r="K53" i="1"/>
  <c r="K58" i="1"/>
  <c r="K63" i="1"/>
  <c r="K69" i="1"/>
  <c r="K74" i="1"/>
  <c r="K79" i="1"/>
  <c r="K85" i="1"/>
  <c r="K90" i="1"/>
  <c r="K95" i="1"/>
  <c r="K101" i="1"/>
  <c r="K106" i="1"/>
  <c r="K111" i="1"/>
  <c r="K117" i="1"/>
  <c r="K122" i="1"/>
  <c r="K127" i="1"/>
  <c r="K133" i="1"/>
  <c r="K138" i="1"/>
  <c r="K143" i="1"/>
  <c r="K149" i="1"/>
  <c r="K154" i="1"/>
  <c r="K159" i="1"/>
  <c r="K165" i="1"/>
  <c r="K170" i="1"/>
  <c r="K175" i="1"/>
  <c r="K181" i="1"/>
  <c r="K186" i="1"/>
  <c r="K191" i="1"/>
  <c r="K197" i="1"/>
  <c r="K202" i="1"/>
  <c r="K207" i="1"/>
  <c r="K213" i="1"/>
  <c r="K218" i="1"/>
  <c r="K222" i="1"/>
  <c r="K226" i="1"/>
  <c r="K230" i="1"/>
  <c r="K234" i="1"/>
  <c r="K238" i="1"/>
  <c r="K242" i="1"/>
  <c r="K246" i="1"/>
  <c r="K250" i="1"/>
  <c r="K254" i="1"/>
  <c r="K258" i="1"/>
  <c r="K262" i="1"/>
  <c r="K266" i="1"/>
  <c r="K270" i="1"/>
  <c r="K274" i="1"/>
  <c r="K278" i="1"/>
  <c r="K282" i="1"/>
  <c r="K286" i="1"/>
  <c r="K290" i="1"/>
  <c r="K294" i="1"/>
  <c r="K298" i="1"/>
  <c r="K302" i="1"/>
  <c r="K306" i="1"/>
  <c r="K310" i="1"/>
  <c r="K314" i="1"/>
  <c r="K318" i="1"/>
  <c r="K322" i="1"/>
  <c r="K326" i="1"/>
  <c r="K330" i="1"/>
  <c r="K334" i="1"/>
  <c r="K338" i="1"/>
  <c r="K342" i="1"/>
  <c r="K346" i="1"/>
  <c r="K350" i="1"/>
  <c r="K354" i="1"/>
  <c r="K358" i="1"/>
  <c r="K362" i="1"/>
  <c r="K11" i="1"/>
  <c r="K18" i="1"/>
  <c r="K25" i="1"/>
  <c r="K33" i="1"/>
  <c r="K39" i="1"/>
  <c r="K46" i="1"/>
  <c r="K54" i="1"/>
  <c r="K61" i="1"/>
  <c r="K67" i="1"/>
  <c r="K75" i="1"/>
  <c r="K82" i="1"/>
  <c r="K89" i="1"/>
  <c r="K97" i="1"/>
  <c r="K103" i="1"/>
  <c r="K110" i="1"/>
  <c r="K118" i="1"/>
  <c r="K125" i="1"/>
  <c r="K131" i="1"/>
  <c r="K139" i="1"/>
  <c r="K146" i="1"/>
  <c r="K153" i="1"/>
  <c r="K161" i="1"/>
  <c r="K167" i="1"/>
  <c r="K174" i="1"/>
  <c r="K182" i="1"/>
  <c r="K189" i="1"/>
  <c r="K195" i="1"/>
  <c r="K203" i="1"/>
  <c r="K210" i="1"/>
  <c r="K217" i="1"/>
  <c r="K223" i="1"/>
  <c r="K228" i="1"/>
  <c r="K233" i="1"/>
  <c r="K239" i="1"/>
  <c r="K244" i="1"/>
  <c r="K249" i="1"/>
  <c r="K255" i="1"/>
  <c r="K260" i="1"/>
  <c r="K265" i="1"/>
  <c r="K271" i="1"/>
  <c r="K276" i="1"/>
  <c r="K281" i="1"/>
  <c r="K287" i="1"/>
  <c r="K292" i="1"/>
  <c r="K297" i="1"/>
  <c r="K303" i="1"/>
  <c r="K308" i="1"/>
  <c r="K313" i="1"/>
  <c r="K319" i="1"/>
  <c r="K324" i="1"/>
  <c r="K329" i="1"/>
  <c r="K335" i="1"/>
  <c r="K340" i="1"/>
  <c r="K345" i="1"/>
  <c r="K351" i="1"/>
  <c r="K356" i="1"/>
  <c r="K361" i="1"/>
  <c r="K6" i="1"/>
  <c r="K13" i="1"/>
  <c r="K19" i="1"/>
  <c r="K27" i="1"/>
  <c r="K34" i="1"/>
  <c r="K41" i="1"/>
  <c r="K49" i="1"/>
  <c r="K55" i="1"/>
  <c r="K62" i="1"/>
  <c r="K70" i="1"/>
  <c r="K77" i="1"/>
  <c r="K83" i="1"/>
  <c r="K91" i="1"/>
  <c r="K98" i="1"/>
  <c r="K105" i="1"/>
  <c r="K113" i="1"/>
  <c r="K119" i="1"/>
  <c r="K126" i="1"/>
  <c r="K134" i="1"/>
  <c r="K141" i="1"/>
  <c r="K147" i="1"/>
  <c r="K155" i="1"/>
  <c r="K162" i="1"/>
  <c r="K169" i="1"/>
  <c r="K177" i="1"/>
  <c r="K183" i="1"/>
  <c r="K190" i="1"/>
  <c r="K198" i="1"/>
  <c r="K205" i="1"/>
  <c r="K211" i="1"/>
  <c r="K219" i="1"/>
  <c r="K224" i="1"/>
  <c r="K229" i="1"/>
  <c r="K235" i="1"/>
  <c r="K240" i="1"/>
  <c r="K245" i="1"/>
  <c r="K251" i="1"/>
  <c r="K256" i="1"/>
  <c r="K261" i="1"/>
  <c r="K267" i="1"/>
  <c r="K272" i="1"/>
  <c r="K277" i="1"/>
  <c r="K283" i="1"/>
  <c r="K288" i="1"/>
  <c r="K293" i="1"/>
  <c r="K299" i="1"/>
  <c r="K304" i="1"/>
  <c r="K309" i="1"/>
  <c r="K315" i="1"/>
  <c r="K320" i="1"/>
  <c r="K325" i="1"/>
  <c r="K331" i="1"/>
  <c r="K336" i="1"/>
  <c r="K341" i="1"/>
  <c r="K347" i="1"/>
  <c r="K352" i="1"/>
  <c r="K357" i="1"/>
  <c r="K3" i="1"/>
  <c r="K7" i="1"/>
  <c r="K14" i="1"/>
  <c r="K22" i="1"/>
  <c r="K29" i="1"/>
  <c r="K35" i="1"/>
  <c r="K43" i="1"/>
  <c r="K50" i="1"/>
  <c r="K57" i="1"/>
  <c r="K65" i="1"/>
  <c r="K71" i="1"/>
  <c r="K78" i="1"/>
  <c r="K86" i="1"/>
  <c r="K93" i="1"/>
  <c r="K99" i="1"/>
  <c r="K107" i="1"/>
  <c r="K114" i="1"/>
  <c r="K121" i="1"/>
  <c r="K129" i="1"/>
  <c r="K135" i="1"/>
  <c r="K142" i="1"/>
  <c r="K150" i="1"/>
  <c r="K157" i="1"/>
  <c r="K163" i="1"/>
  <c r="K171" i="1"/>
  <c r="K178" i="1"/>
  <c r="K185" i="1"/>
  <c r="K193" i="1"/>
  <c r="K199" i="1"/>
  <c r="K206" i="1"/>
  <c r="K214" i="1"/>
  <c r="K220" i="1"/>
  <c r="K225" i="1"/>
  <c r="K231" i="1"/>
  <c r="K236" i="1"/>
  <c r="K241" i="1"/>
  <c r="K247" i="1"/>
  <c r="K252" i="1"/>
  <c r="K257" i="1"/>
  <c r="K263" i="1"/>
  <c r="K268" i="1"/>
  <c r="K273" i="1"/>
  <c r="K279" i="1"/>
  <c r="K284" i="1"/>
  <c r="K289" i="1"/>
  <c r="K295" i="1"/>
  <c r="K300" i="1"/>
  <c r="K305" i="1"/>
  <c r="K311" i="1"/>
  <c r="K316" i="1"/>
  <c r="K321" i="1"/>
  <c r="K327" i="1"/>
  <c r="K332" i="1"/>
  <c r="K337" i="1"/>
  <c r="K343" i="1"/>
  <c r="K348" i="1"/>
  <c r="K353" i="1"/>
  <c r="K359" i="1"/>
  <c r="K30" i="1"/>
  <c r="K59" i="1"/>
  <c r="K87" i="1"/>
  <c r="K115" i="1"/>
  <c r="K145" i="1"/>
  <c r="K173" i="1"/>
  <c r="K201" i="1"/>
  <c r="K227" i="1"/>
  <c r="K248" i="1"/>
  <c r="K269" i="1"/>
  <c r="K291" i="1"/>
  <c r="K312" i="1"/>
  <c r="K333" i="1"/>
  <c r="K355" i="1"/>
  <c r="K9" i="1"/>
  <c r="K38" i="1"/>
  <c r="K66" i="1"/>
  <c r="K94" i="1"/>
  <c r="K123" i="1"/>
  <c r="K151" i="1"/>
  <c r="K179" i="1"/>
  <c r="K209" i="1"/>
  <c r="K232" i="1"/>
  <c r="K253" i="1"/>
  <c r="K275" i="1"/>
  <c r="K296" i="1"/>
  <c r="K317" i="1"/>
  <c r="K339" i="1"/>
  <c r="K360" i="1"/>
  <c r="K17" i="1"/>
  <c r="K45" i="1"/>
  <c r="K73" i="1"/>
  <c r="K102" i="1"/>
  <c r="K130" i="1"/>
  <c r="K158" i="1"/>
  <c r="K187" i="1"/>
  <c r="K215" i="1"/>
  <c r="K237" i="1"/>
  <c r="K259" i="1"/>
  <c r="K280" i="1"/>
  <c r="K301" i="1"/>
  <c r="K323" i="1"/>
  <c r="K344" i="1"/>
  <c r="K23" i="1"/>
  <c r="K51" i="1"/>
  <c r="K81" i="1"/>
  <c r="K109" i="1"/>
  <c r="K137" i="1"/>
  <c r="K166" i="1"/>
  <c r="K194" i="1"/>
  <c r="K221" i="1"/>
  <c r="K243" i="1"/>
  <c r="K264" i="1"/>
  <c r="K285" i="1"/>
  <c r="K307" i="1"/>
  <c r="K328" i="1"/>
  <c r="K349" i="1"/>
  <c r="F360" i="1" l="1"/>
  <c r="G360" i="1"/>
  <c r="G316" i="1"/>
  <c r="G304" i="1"/>
  <c r="G339" i="1"/>
  <c r="H304" i="1"/>
  <c r="H120" i="1"/>
  <c r="G305" i="1"/>
  <c r="H339" i="1"/>
  <c r="H336" i="1"/>
  <c r="F320" i="1"/>
  <c r="G348" i="1"/>
  <c r="G336" i="1"/>
  <c r="G332" i="1"/>
  <c r="F332" i="1"/>
  <c r="G321" i="1"/>
  <c r="F350" i="1"/>
  <c r="G354" i="1"/>
  <c r="G307" i="1"/>
  <c r="H358" i="1"/>
  <c r="H311" i="1"/>
  <c r="F353" i="1"/>
  <c r="G318" i="1"/>
  <c r="H353" i="1"/>
  <c r="H305" i="1"/>
  <c r="G334" i="1"/>
  <c r="F334" i="1"/>
  <c r="H321" i="1"/>
  <c r="H351" i="1"/>
  <c r="H310" i="1"/>
  <c r="M334" i="1"/>
  <c r="L334" i="1" s="1"/>
  <c r="M312" i="1"/>
  <c r="L312" i="1" s="1"/>
  <c r="H344" i="1"/>
  <c r="F318" i="1"/>
  <c r="F333" i="1"/>
  <c r="F359" i="1"/>
  <c r="F327" i="1"/>
  <c r="F311" i="1"/>
  <c r="M353" i="1"/>
  <c r="L353" i="1" s="1"/>
  <c r="M345" i="1"/>
  <c r="L345" i="1" s="1"/>
  <c r="M350" i="1"/>
  <c r="L350" i="1" s="1"/>
  <c r="M338" i="1"/>
  <c r="L338" i="1" s="1"/>
  <c r="M332" i="1"/>
  <c r="L332" i="1" s="1"/>
  <c r="G326" i="1"/>
  <c r="H337" i="1"/>
  <c r="H326" i="1"/>
  <c r="M305" i="1"/>
  <c r="L305" i="1" s="1"/>
  <c r="M346" i="1"/>
  <c r="L346" i="1" s="1"/>
  <c r="M318" i="1"/>
  <c r="L318" i="1" s="1"/>
  <c r="M337" i="1"/>
  <c r="L337" i="1" s="1"/>
  <c r="M309" i="1"/>
  <c r="L309" i="1" s="1"/>
  <c r="M342" i="1"/>
  <c r="L342" i="1" s="1"/>
  <c r="M314" i="1"/>
  <c r="L314" i="1" s="1"/>
  <c r="M354" i="1"/>
  <c r="L354" i="1" s="1"/>
  <c r="M333" i="1"/>
  <c r="L333" i="1" s="1"/>
  <c r="M311" i="1"/>
  <c r="L311" i="1" s="1"/>
  <c r="M360" i="1"/>
  <c r="L360" i="1" s="1"/>
  <c r="M344" i="1"/>
  <c r="L344" i="1" s="1"/>
  <c r="M328" i="1"/>
  <c r="L328" i="1" s="1"/>
  <c r="G350" i="1"/>
  <c r="F337" i="1"/>
  <c r="G310" i="1"/>
  <c r="G359" i="1"/>
  <c r="F354" i="1"/>
  <c r="F338" i="1"/>
  <c r="G327" i="1"/>
  <c r="F322" i="1"/>
  <c r="F306" i="1"/>
  <c r="H347" i="1"/>
  <c r="F317" i="1"/>
  <c r="H357" i="1"/>
  <c r="G352" i="1"/>
  <c r="F347" i="1"/>
  <c r="H341" i="1"/>
  <c r="F331" i="1"/>
  <c r="H325" i="1"/>
  <c r="F315" i="1"/>
  <c r="H309" i="1"/>
  <c r="G330" i="1"/>
  <c r="H307" i="1"/>
  <c r="G357" i="1"/>
  <c r="F352" i="1"/>
  <c r="G341" i="1"/>
  <c r="H330" i="1"/>
  <c r="G325" i="1"/>
  <c r="G309" i="1"/>
  <c r="M313" i="1"/>
  <c r="L313" i="1" s="1"/>
  <c r="M3" i="1"/>
  <c r="L3" i="1" s="1"/>
  <c r="M315" i="1"/>
  <c r="L315" i="1" s="1"/>
  <c r="M317" i="1"/>
  <c r="L317" i="1" s="1"/>
  <c r="M316" i="1"/>
  <c r="L316" i="1" s="1"/>
  <c r="M355" i="1"/>
  <c r="L355" i="1" s="1"/>
  <c r="M347" i="1"/>
  <c r="L347" i="1" s="1"/>
  <c r="M339" i="1"/>
  <c r="L339" i="1" s="1"/>
  <c r="M310" i="1"/>
  <c r="L310" i="1" s="1"/>
  <c r="M358" i="1"/>
  <c r="L358" i="1" s="1"/>
  <c r="M330" i="1"/>
  <c r="L330" i="1" s="1"/>
  <c r="M335" i="1"/>
  <c r="L335" i="1" s="1"/>
  <c r="M307" i="1"/>
  <c r="L307" i="1" s="1"/>
  <c r="M349" i="1"/>
  <c r="L349" i="1" s="1"/>
  <c r="M327" i="1"/>
  <c r="L327" i="1" s="1"/>
  <c r="M306" i="1"/>
  <c r="L306" i="1" s="1"/>
  <c r="M356" i="1"/>
  <c r="L356" i="1" s="1"/>
  <c r="M340" i="1"/>
  <c r="L340" i="1" s="1"/>
  <c r="M324" i="1"/>
  <c r="L324" i="1" s="1"/>
  <c r="M308" i="1"/>
  <c r="F349" i="1"/>
  <c r="G306" i="1"/>
  <c r="F358" i="1"/>
  <c r="G331" i="1"/>
  <c r="G315" i="1"/>
  <c r="F351" i="1"/>
  <c r="H345" i="1"/>
  <c r="F319" i="1"/>
  <c r="F303" i="1"/>
  <c r="H303" i="1"/>
  <c r="G345" i="1"/>
  <c r="M325" i="1"/>
  <c r="L325" i="1" s="1"/>
  <c r="M321" i="1"/>
  <c r="L321" i="1" s="1"/>
  <c r="M359" i="1"/>
  <c r="L359" i="1" s="1"/>
  <c r="M348" i="1"/>
  <c r="L348" i="1" s="1"/>
  <c r="G355" i="1"/>
  <c r="M326" i="1"/>
  <c r="L326" i="1" s="1"/>
  <c r="M319" i="1"/>
  <c r="L319" i="1" s="1"/>
  <c r="M341" i="1"/>
  <c r="L341" i="1" s="1"/>
  <c r="M362" i="1"/>
  <c r="L362" i="1" s="1"/>
  <c r="M361" i="1"/>
  <c r="L361" i="1" s="1"/>
  <c r="M331" i="1"/>
  <c r="L331" i="1" s="1"/>
  <c r="M303" i="1"/>
  <c r="L303" i="1" s="1"/>
  <c r="M351" i="1"/>
  <c r="L351" i="1" s="1"/>
  <c r="M323" i="1"/>
  <c r="M357" i="1"/>
  <c r="M329" i="1"/>
  <c r="L329" i="1" s="1"/>
  <c r="M343" i="1"/>
  <c r="L343" i="1" s="1"/>
  <c r="M322" i="1"/>
  <c r="L322" i="1" s="1"/>
  <c r="M352" i="1"/>
  <c r="L352" i="1" s="1"/>
  <c r="M336" i="1"/>
  <c r="L336" i="1" s="1"/>
  <c r="M320" i="1"/>
  <c r="L320" i="1" s="1"/>
  <c r="M304" i="1"/>
  <c r="L304" i="1" s="1"/>
  <c r="G319" i="1"/>
  <c r="G338" i="1"/>
  <c r="F355" i="1"/>
  <c r="H349" i="1"/>
  <c r="G344" i="1"/>
  <c r="H333" i="1"/>
  <c r="H317" i="1"/>
  <c r="G322" i="1"/>
  <c r="F176" i="1"/>
  <c r="G168" i="1"/>
  <c r="G176" i="1"/>
  <c r="H168" i="1"/>
  <c r="G153" i="1"/>
  <c r="G266" i="1"/>
  <c r="F74" i="1"/>
  <c r="G224" i="1"/>
  <c r="F104" i="1"/>
  <c r="F26" i="1"/>
  <c r="G256" i="1"/>
  <c r="H40" i="1"/>
  <c r="G300" i="1"/>
  <c r="G276" i="1"/>
  <c r="G180" i="1"/>
  <c r="F153" i="1"/>
  <c r="H88" i="1"/>
  <c r="H89" i="1"/>
  <c r="F61" i="1"/>
  <c r="F64" i="1"/>
  <c r="G74" i="1"/>
  <c r="G143" i="1"/>
  <c r="H266" i="1"/>
  <c r="H51" i="1"/>
  <c r="G115" i="1"/>
  <c r="F264" i="1"/>
  <c r="H202" i="1"/>
  <c r="H179" i="1"/>
  <c r="F281" i="1"/>
  <c r="G228" i="1"/>
  <c r="H281" i="1"/>
  <c r="F292" i="1"/>
  <c r="H49" i="1"/>
  <c r="F56" i="1"/>
  <c r="H93" i="1"/>
  <c r="H260" i="1"/>
  <c r="H196" i="1"/>
  <c r="H164" i="1"/>
  <c r="H138" i="1"/>
  <c r="H86" i="1"/>
  <c r="G196" i="1"/>
  <c r="G164" i="1"/>
  <c r="G132" i="1"/>
  <c r="H29" i="1"/>
  <c r="H243" i="1"/>
  <c r="H230" i="1"/>
  <c r="H136" i="1"/>
  <c r="H56" i="1"/>
  <c r="G29" i="1"/>
  <c r="G49" i="1"/>
  <c r="G243" i="1"/>
  <c r="H292" i="1"/>
  <c r="H228" i="1"/>
  <c r="G202" i="1"/>
  <c r="G138" i="1"/>
  <c r="H64" i="1"/>
  <c r="H115" i="1"/>
  <c r="G68" i="1"/>
  <c r="G179" i="1"/>
  <c r="G51" i="1"/>
  <c r="G93" i="1"/>
  <c r="G217" i="1"/>
  <c r="H132" i="1"/>
  <c r="G230" i="1"/>
  <c r="F68" i="1"/>
  <c r="F217" i="1"/>
  <c r="F69" i="1"/>
  <c r="H26" i="1"/>
  <c r="G63" i="1"/>
  <c r="H201" i="1"/>
  <c r="H194" i="1"/>
  <c r="G219" i="1"/>
  <c r="F31" i="1"/>
  <c r="G167" i="1"/>
  <c r="H280" i="1"/>
  <c r="F242" i="1"/>
  <c r="H13" i="1"/>
  <c r="G34" i="1"/>
  <c r="G99" i="1"/>
  <c r="H19" i="1"/>
  <c r="G95" i="1"/>
  <c r="H291" i="1"/>
  <c r="F160" i="1"/>
  <c r="F133" i="1"/>
  <c r="F122" i="1"/>
  <c r="H145" i="1"/>
  <c r="H66" i="1"/>
  <c r="G41" i="1"/>
  <c r="F278" i="1"/>
  <c r="H250" i="1"/>
  <c r="H220" i="1"/>
  <c r="G288" i="1"/>
  <c r="H221" i="1"/>
  <c r="H288" i="1"/>
  <c r="F76" i="1"/>
  <c r="G199" i="1"/>
  <c r="G223" i="1"/>
  <c r="F213" i="1"/>
  <c r="H38" i="1"/>
  <c r="G200" i="1"/>
  <c r="F201" i="1"/>
  <c r="G104" i="1"/>
  <c r="G21" i="1"/>
  <c r="F173" i="1"/>
  <c r="H158" i="1"/>
  <c r="F7" i="1"/>
  <c r="G191" i="1"/>
  <c r="H283" i="1"/>
  <c r="F272" i="1"/>
  <c r="H236" i="1"/>
  <c r="H204" i="1"/>
  <c r="F192" i="1"/>
  <c r="H172" i="1"/>
  <c r="H140" i="1"/>
  <c r="H130" i="1"/>
  <c r="G192" i="1"/>
  <c r="H118" i="1"/>
  <c r="G298" i="1"/>
  <c r="H285" i="1"/>
  <c r="F273" i="1"/>
  <c r="F209" i="1"/>
  <c r="G140" i="1"/>
  <c r="G278" i="1"/>
  <c r="H264" i="1"/>
  <c r="F236" i="1"/>
  <c r="F178" i="1"/>
  <c r="G118" i="1"/>
  <c r="H124" i="1"/>
  <c r="F40" i="1"/>
  <c r="H77" i="1"/>
  <c r="H48" i="1"/>
  <c r="G272" i="1"/>
  <c r="G144" i="1"/>
  <c r="H300" i="1"/>
  <c r="H268" i="1"/>
  <c r="H258" i="1"/>
  <c r="F184" i="1"/>
  <c r="G204" i="1"/>
  <c r="G213" i="1"/>
  <c r="F50" i="1"/>
  <c r="G94" i="1"/>
  <c r="G32" i="1"/>
  <c r="G135" i="1"/>
  <c r="G184" i="1"/>
  <c r="G136" i="1"/>
  <c r="F214" i="1"/>
  <c r="F182" i="1"/>
  <c r="F66" i="1"/>
  <c r="F157" i="1"/>
  <c r="G268" i="1"/>
  <c r="H223" i="1"/>
  <c r="G172" i="1"/>
  <c r="G77" i="1"/>
  <c r="H257" i="1"/>
  <c r="G229" i="1"/>
  <c r="H113" i="1"/>
  <c r="G89" i="1"/>
  <c r="F54" i="1"/>
  <c r="F25" i="1"/>
  <c r="G283" i="1"/>
  <c r="H247" i="1"/>
  <c r="H98" i="1"/>
  <c r="H119" i="1"/>
  <c r="G163" i="1"/>
  <c r="H162" i="1"/>
  <c r="G37" i="1"/>
  <c r="H256" i="1"/>
  <c r="H190" i="1"/>
  <c r="F101" i="1"/>
  <c r="F10" i="1"/>
  <c r="H290" i="1"/>
  <c r="H44" i="1"/>
  <c r="F112" i="1"/>
  <c r="H24" i="1"/>
  <c r="F177" i="1"/>
  <c r="H216" i="1"/>
  <c r="G105" i="1"/>
  <c r="F15" i="1"/>
  <c r="L308" i="1"/>
  <c r="G227" i="1"/>
  <c r="G55" i="1"/>
  <c r="G239" i="1"/>
  <c r="G159" i="1"/>
  <c r="H47" i="1"/>
  <c r="G9" i="1"/>
  <c r="H227" i="1"/>
  <c r="H147" i="1"/>
  <c r="F296" i="1"/>
  <c r="H284" i="1"/>
  <c r="H276" i="1"/>
  <c r="G265" i="1"/>
  <c r="F240" i="1"/>
  <c r="F208" i="1"/>
  <c r="F200" i="1"/>
  <c r="H188" i="1"/>
  <c r="H148" i="1"/>
  <c r="G137" i="1"/>
  <c r="H275" i="1"/>
  <c r="G240" i="1"/>
  <c r="G216" i="1"/>
  <c r="H163" i="1"/>
  <c r="H3" i="1"/>
  <c r="F241" i="1"/>
  <c r="G186" i="1"/>
  <c r="H175" i="1"/>
  <c r="G148" i="1"/>
  <c r="F137" i="1"/>
  <c r="F181" i="1"/>
  <c r="G125" i="1"/>
  <c r="H296" i="1"/>
  <c r="H286" i="1"/>
  <c r="H254" i="1"/>
  <c r="F186" i="1"/>
  <c r="G165" i="1"/>
  <c r="G69" i="1"/>
  <c r="H107" i="1"/>
  <c r="H99" i="1"/>
  <c r="H9" i="1"/>
  <c r="H92" i="1"/>
  <c r="G73" i="1"/>
  <c r="H60" i="1"/>
  <c r="G106" i="1"/>
  <c r="G58" i="1"/>
  <c r="H37" i="1"/>
  <c r="F12" i="1"/>
  <c r="G155" i="1"/>
  <c r="H15" i="1"/>
  <c r="G175" i="1"/>
  <c r="H241" i="1"/>
  <c r="G254" i="1"/>
  <c r="F265" i="1"/>
  <c r="H70" i="1"/>
  <c r="G126" i="1"/>
  <c r="H122" i="1"/>
  <c r="F8" i="1"/>
  <c r="G291" i="1"/>
  <c r="G247" i="1"/>
  <c r="G262" i="1"/>
  <c r="G182" i="1"/>
  <c r="H252" i="1"/>
  <c r="H226" i="1"/>
  <c r="H156" i="1"/>
  <c r="F92" i="1"/>
  <c r="H21" i="1"/>
  <c r="H209" i="1"/>
  <c r="F100" i="1"/>
  <c r="G250" i="1"/>
  <c r="H183" i="1"/>
  <c r="H157" i="1"/>
  <c r="F145" i="1"/>
  <c r="F84" i="1"/>
  <c r="F58" i="1"/>
  <c r="H273" i="1"/>
  <c r="F237" i="1"/>
  <c r="G261" i="1"/>
  <c r="H222" i="1"/>
  <c r="G133" i="1"/>
  <c r="G101" i="1"/>
  <c r="H105" i="1"/>
  <c r="H75" i="1"/>
  <c r="G62" i="1"/>
  <c r="H100" i="1"/>
  <c r="H84" i="1"/>
  <c r="F47" i="1"/>
  <c r="F24" i="1"/>
  <c r="H55" i="1"/>
  <c r="G10" i="1"/>
  <c r="G91" i="1"/>
  <c r="G183" i="1"/>
  <c r="M254" i="1"/>
  <c r="L254" i="1" s="1"/>
  <c r="G5" i="1"/>
  <c r="G287" i="1"/>
  <c r="G302" i="1"/>
  <c r="F246" i="1"/>
  <c r="G117" i="1"/>
  <c r="H151" i="1"/>
  <c r="H248" i="1"/>
  <c r="F210" i="1"/>
  <c r="F14" i="1"/>
  <c r="H39" i="1"/>
  <c r="G207" i="1"/>
  <c r="G79" i="1"/>
  <c r="G263" i="1"/>
  <c r="G87" i="1"/>
  <c r="F301" i="1"/>
  <c r="F277" i="1"/>
  <c r="H235" i="1"/>
  <c r="G208" i="1"/>
  <c r="F165" i="1"/>
  <c r="G128" i="1"/>
  <c r="F302" i="1"/>
  <c r="G289" i="1"/>
  <c r="F270" i="1"/>
  <c r="G257" i="1"/>
  <c r="F238" i="1"/>
  <c r="F232" i="1"/>
  <c r="G225" i="1"/>
  <c r="F206" i="1"/>
  <c r="G193" i="1"/>
  <c r="F174" i="1"/>
  <c r="G161" i="1"/>
  <c r="F142" i="1"/>
  <c r="G129" i="1"/>
  <c r="H110" i="1"/>
  <c r="G85" i="1"/>
  <c r="F60" i="1"/>
  <c r="G270" i="1"/>
  <c r="H249" i="1"/>
  <c r="F221" i="1"/>
  <c r="F205" i="1"/>
  <c r="H187" i="1"/>
  <c r="G152" i="1"/>
  <c r="H129" i="1"/>
  <c r="G290" i="1"/>
  <c r="G284" i="1"/>
  <c r="H277" i="1"/>
  <c r="G258" i="1"/>
  <c r="G252" i="1"/>
  <c r="H245" i="1"/>
  <c r="H239" i="1"/>
  <c r="G226" i="1"/>
  <c r="G220" i="1"/>
  <c r="H207" i="1"/>
  <c r="G194" i="1"/>
  <c r="G188" i="1"/>
  <c r="H181" i="1"/>
  <c r="G162" i="1"/>
  <c r="G156" i="1"/>
  <c r="H149" i="1"/>
  <c r="H143" i="1"/>
  <c r="G130" i="1"/>
  <c r="F116" i="1"/>
  <c r="G286" i="1"/>
  <c r="F269" i="1"/>
  <c r="H251" i="1"/>
  <c r="G232" i="1"/>
  <c r="H211" i="1"/>
  <c r="H193" i="1"/>
  <c r="G158" i="1"/>
  <c r="F141" i="1"/>
  <c r="F298" i="1"/>
  <c r="G285" i="1"/>
  <c r="G253" i="1"/>
  <c r="H246" i="1"/>
  <c r="F234" i="1"/>
  <c r="H214" i="1"/>
  <c r="G189" i="1"/>
  <c r="F170" i="1"/>
  <c r="H150" i="1"/>
  <c r="H94" i="1"/>
  <c r="G42" i="1"/>
  <c r="G112" i="1"/>
  <c r="G80" i="1"/>
  <c r="H73" i="1"/>
  <c r="G54" i="1"/>
  <c r="F48" i="1"/>
  <c r="H32" i="1"/>
  <c r="G25" i="1"/>
  <c r="H116" i="1"/>
  <c r="F110" i="1"/>
  <c r="G97" i="1"/>
  <c r="F78" i="1"/>
  <c r="F72" i="1"/>
  <c r="G65" i="1"/>
  <c r="H52" i="1"/>
  <c r="H45" i="1"/>
  <c r="F38" i="1"/>
  <c r="G30" i="1"/>
  <c r="F20" i="1"/>
  <c r="F41" i="1"/>
  <c r="G124" i="1"/>
  <c r="H117" i="1"/>
  <c r="H111" i="1"/>
  <c r="G98" i="1"/>
  <c r="H85" i="1"/>
  <c r="H79" i="1"/>
  <c r="H53" i="1"/>
  <c r="H46" i="1"/>
  <c r="F39" i="1"/>
  <c r="H22" i="1"/>
  <c r="H6" i="1"/>
  <c r="G22" i="1"/>
  <c r="H14" i="1"/>
  <c r="G6" i="1"/>
  <c r="F17" i="1"/>
  <c r="G8" i="1"/>
  <c r="G19" i="1"/>
  <c r="G267" i="1"/>
  <c r="G203" i="1"/>
  <c r="G139" i="1"/>
  <c r="G75" i="1"/>
  <c r="G103" i="1"/>
  <c r="F189" i="1"/>
  <c r="F150" i="1"/>
  <c r="H279" i="1"/>
  <c r="H289" i="1"/>
  <c r="H161" i="1"/>
  <c r="F146" i="1"/>
  <c r="F42" i="1"/>
  <c r="L357" i="1"/>
  <c r="G255" i="1"/>
  <c r="G127" i="1"/>
  <c r="H27" i="1"/>
  <c r="G215" i="1"/>
  <c r="F253" i="1"/>
  <c r="H155" i="1"/>
  <c r="G142" i="1"/>
  <c r="F106" i="1"/>
  <c r="F294" i="1"/>
  <c r="H274" i="1"/>
  <c r="F262" i="1"/>
  <c r="G249" i="1"/>
  <c r="H242" i="1"/>
  <c r="F224" i="1"/>
  <c r="H210" i="1"/>
  <c r="F198" i="1"/>
  <c r="G185" i="1"/>
  <c r="H178" i="1"/>
  <c r="H146" i="1"/>
  <c r="F134" i="1"/>
  <c r="F128" i="1"/>
  <c r="H78" i="1"/>
  <c r="G53" i="1"/>
  <c r="H139" i="1"/>
  <c r="H301" i="1"/>
  <c r="H295" i="1"/>
  <c r="H269" i="1"/>
  <c r="H263" i="1"/>
  <c r="H237" i="1"/>
  <c r="H231" i="1"/>
  <c r="F225" i="1"/>
  <c r="H205" i="1"/>
  <c r="H199" i="1"/>
  <c r="H173" i="1"/>
  <c r="H167" i="1"/>
  <c r="H141" i="1"/>
  <c r="H135" i="1"/>
  <c r="G109" i="1"/>
  <c r="H299" i="1"/>
  <c r="F229" i="1"/>
  <c r="G206" i="1"/>
  <c r="G190" i="1"/>
  <c r="G174" i="1"/>
  <c r="G245" i="1"/>
  <c r="H238" i="1"/>
  <c r="G149" i="1"/>
  <c r="F114" i="1"/>
  <c r="H62" i="1"/>
  <c r="H34" i="1"/>
  <c r="H123" i="1"/>
  <c r="H97" i="1"/>
  <c r="H91" i="1"/>
  <c r="G72" i="1"/>
  <c r="H65" i="1"/>
  <c r="H59" i="1"/>
  <c r="F46" i="1"/>
  <c r="H30" i="1"/>
  <c r="G121" i="1"/>
  <c r="H114" i="1"/>
  <c r="H108" i="1"/>
  <c r="F102" i="1"/>
  <c r="H82" i="1"/>
  <c r="H76" i="1"/>
  <c r="F70" i="1"/>
  <c r="G57" i="1"/>
  <c r="H50" i="1"/>
  <c r="F44" i="1"/>
  <c r="G36" i="1"/>
  <c r="H28" i="1"/>
  <c r="G27" i="1"/>
  <c r="H109" i="1"/>
  <c r="H103" i="1"/>
  <c r="H71" i="1"/>
  <c r="G52" i="1"/>
  <c r="G45" i="1"/>
  <c r="H18" i="1"/>
  <c r="H20" i="1"/>
  <c r="G13" i="1"/>
  <c r="G11" i="1"/>
  <c r="G251" i="1"/>
  <c r="G187" i="1"/>
  <c r="G123" i="1"/>
  <c r="G59" i="1"/>
  <c r="H23" i="1"/>
  <c r="G295" i="1"/>
  <c r="G71" i="1"/>
  <c r="H80" i="1"/>
  <c r="H215" i="1"/>
  <c r="F274" i="1"/>
  <c r="G197" i="1"/>
  <c r="H152" i="1"/>
  <c r="H87" i="1"/>
  <c r="L323" i="1"/>
  <c r="G275" i="1"/>
  <c r="G211" i="1"/>
  <c r="G147" i="1"/>
  <c r="G83" i="1"/>
  <c r="G279" i="1"/>
  <c r="G119" i="1"/>
  <c r="G111" i="1"/>
  <c r="G43" i="1"/>
  <c r="H11" i="1"/>
  <c r="G151" i="1"/>
  <c r="G3" i="1"/>
  <c r="H267" i="1"/>
  <c r="G248" i="1"/>
  <c r="H219" i="1"/>
  <c r="H177" i="1"/>
  <c r="F280" i="1"/>
  <c r="F222" i="1"/>
  <c r="H5" i="1"/>
  <c r="F197" i="1"/>
  <c r="G134" i="1"/>
  <c r="H287" i="1"/>
  <c r="H261" i="1"/>
  <c r="H255" i="1"/>
  <c r="H191" i="1"/>
  <c r="F185" i="1"/>
  <c r="H159" i="1"/>
  <c r="H126" i="1"/>
  <c r="H102" i="1"/>
  <c r="H17" i="1"/>
  <c r="G294" i="1"/>
  <c r="H203" i="1"/>
  <c r="H171" i="1"/>
  <c r="F108" i="1"/>
  <c r="F82" i="1"/>
  <c r="F28" i="1"/>
  <c r="H121" i="1"/>
  <c r="H83" i="1"/>
  <c r="H57" i="1"/>
  <c r="H36" i="1"/>
  <c r="G12" i="1"/>
  <c r="H127" i="1"/>
  <c r="H95" i="1"/>
  <c r="H63" i="1"/>
  <c r="H35" i="1"/>
  <c r="H43" i="1"/>
  <c r="G299" i="1"/>
  <c r="G235" i="1"/>
  <c r="G171" i="1"/>
  <c r="G107" i="1"/>
  <c r="G35" i="1"/>
  <c r="H7" i="1"/>
  <c r="G231" i="1"/>
  <c r="H31" i="1"/>
  <c r="M78" i="1"/>
  <c r="L78" i="1" s="1"/>
  <c r="M41" i="1"/>
  <c r="L41" i="1" s="1"/>
  <c r="M75" i="1"/>
  <c r="L75" i="1" s="1"/>
  <c r="M111" i="1"/>
  <c r="L111" i="1" s="1"/>
  <c r="M154" i="1"/>
  <c r="L154" i="1" s="1"/>
  <c r="M190" i="1"/>
  <c r="L190" i="1" s="1"/>
  <c r="M225" i="1"/>
  <c r="L225" i="1" s="1"/>
  <c r="M267" i="1"/>
  <c r="L267" i="1" s="1"/>
  <c r="M106" i="1"/>
  <c r="L106" i="1" s="1"/>
  <c r="M277" i="1"/>
  <c r="L277" i="1" s="1"/>
  <c r="M27" i="1"/>
  <c r="L27" i="1" s="1"/>
  <c r="M170" i="1"/>
  <c r="L170" i="1" s="1"/>
  <c r="M35" i="1"/>
  <c r="L35" i="1" s="1"/>
  <c r="M206" i="1"/>
  <c r="L206" i="1" s="1"/>
  <c r="M127" i="1"/>
  <c r="L127" i="1" s="1"/>
  <c r="M298" i="1"/>
  <c r="L298" i="1" s="1"/>
  <c r="M19" i="1"/>
  <c r="L19" i="1" s="1"/>
  <c r="M97" i="1"/>
  <c r="L97" i="1" s="1"/>
  <c r="M169" i="1"/>
  <c r="L169" i="1" s="1"/>
  <c r="M246" i="1"/>
  <c r="L246" i="1" s="1"/>
  <c r="M49" i="1"/>
  <c r="L49" i="1" s="1"/>
  <c r="M255" i="1"/>
  <c r="L255" i="1" s="1"/>
  <c r="M262" i="1"/>
  <c r="L262" i="1" s="1"/>
  <c r="M213" i="1"/>
  <c r="L213" i="1" s="1"/>
  <c r="M57" i="1"/>
  <c r="L57" i="1" s="1"/>
  <c r="M198" i="1"/>
  <c r="L198" i="1" s="1"/>
  <c r="M91" i="1"/>
  <c r="L91" i="1" s="1"/>
  <c r="M234" i="1"/>
  <c r="L234" i="1" s="1"/>
  <c r="M14" i="1"/>
  <c r="L14" i="1" s="1"/>
  <c r="M185" i="1"/>
  <c r="L185" i="1" s="1"/>
  <c r="M28" i="1"/>
  <c r="L28" i="1" s="1"/>
  <c r="M60" i="1"/>
  <c r="L60" i="1" s="1"/>
  <c r="M92" i="1"/>
  <c r="L92" i="1" s="1"/>
  <c r="M124" i="1"/>
  <c r="L124" i="1" s="1"/>
  <c r="M156" i="1"/>
  <c r="L156" i="1" s="1"/>
  <c r="M188" i="1"/>
  <c r="L188" i="1" s="1"/>
  <c r="M220" i="1"/>
  <c r="L220" i="1" s="1"/>
  <c r="M252" i="1"/>
  <c r="L252" i="1" s="1"/>
  <c r="M284" i="1"/>
  <c r="L284" i="1" s="1"/>
  <c r="M18" i="1"/>
  <c r="L18" i="1" s="1"/>
  <c r="M61" i="1"/>
  <c r="L61" i="1" s="1"/>
  <c r="M103" i="1"/>
  <c r="L103" i="1" s="1"/>
  <c r="M146" i="1"/>
  <c r="L146" i="1" s="1"/>
  <c r="M189" i="1"/>
  <c r="L189" i="1" s="1"/>
  <c r="M231" i="1"/>
  <c r="L231" i="1" s="1"/>
  <c r="M274" i="1"/>
  <c r="L274" i="1" s="1"/>
  <c r="M30" i="1"/>
  <c r="L30" i="1" s="1"/>
  <c r="M86" i="1"/>
  <c r="L86" i="1" s="1"/>
  <c r="M143" i="1"/>
  <c r="L143" i="1" s="1"/>
  <c r="M201" i="1"/>
  <c r="L201" i="1" s="1"/>
  <c r="M257" i="1"/>
  <c r="L257" i="1" s="1"/>
  <c r="M31" i="1"/>
  <c r="L31" i="1" s="1"/>
  <c r="M74" i="1"/>
  <c r="L74" i="1" s="1"/>
  <c r="M110" i="1"/>
  <c r="L110" i="1" s="1"/>
  <c r="M145" i="1"/>
  <c r="L145" i="1" s="1"/>
  <c r="M187" i="1"/>
  <c r="L187" i="1" s="1"/>
  <c r="M223" i="1"/>
  <c r="L223" i="1" s="1"/>
  <c r="M259" i="1"/>
  <c r="L259" i="1" s="1"/>
  <c r="M302" i="1"/>
  <c r="L302" i="1" s="1"/>
  <c r="M54" i="1"/>
  <c r="L54" i="1" s="1"/>
  <c r="M133" i="1"/>
  <c r="L133" i="1" s="1"/>
  <c r="M211" i="1"/>
  <c r="L211" i="1" s="1"/>
  <c r="M282" i="1"/>
  <c r="L282" i="1" s="1"/>
  <c r="M191" i="1"/>
  <c r="L191" i="1" s="1"/>
  <c r="M85" i="1"/>
  <c r="L85" i="1" s="1"/>
  <c r="M121" i="1"/>
  <c r="L121" i="1" s="1"/>
  <c r="M70" i="1"/>
  <c r="L70" i="1" s="1"/>
  <c r="M32" i="1"/>
  <c r="L32" i="1" s="1"/>
  <c r="M99" i="1"/>
  <c r="L99" i="1" s="1"/>
  <c r="M6" i="1"/>
  <c r="L6" i="1" s="1"/>
  <c r="M283" i="1"/>
  <c r="L283" i="1" s="1"/>
  <c r="M182" i="1"/>
  <c r="L182" i="1" s="1"/>
  <c r="M26" i="1"/>
  <c r="L26" i="1" s="1"/>
  <c r="M230" i="1"/>
  <c r="L230" i="1" s="1"/>
  <c r="M81" i="1"/>
  <c r="L81" i="1" s="1"/>
  <c r="M265" i="1"/>
  <c r="L265" i="1" s="1"/>
  <c r="M37" i="1"/>
  <c r="L37" i="1" s="1"/>
  <c r="M279" i="1"/>
  <c r="L279" i="1" s="1"/>
  <c r="M109" i="1"/>
  <c r="L109" i="1" s="1"/>
  <c r="M288" i="1"/>
  <c r="L288" i="1" s="1"/>
  <c r="M160" i="1"/>
  <c r="L160" i="1" s="1"/>
  <c r="M142" i="1"/>
  <c r="L142" i="1" s="1"/>
  <c r="M219" i="1"/>
  <c r="L219" i="1" s="1"/>
  <c r="M297" i="1"/>
  <c r="L297" i="1" s="1"/>
  <c r="M139" i="1"/>
  <c r="L139" i="1" s="1"/>
  <c r="M16" i="1"/>
  <c r="L16" i="1" s="1"/>
  <c r="M195" i="1"/>
  <c r="L195" i="1" s="1"/>
  <c r="M46" i="1"/>
  <c r="L46" i="1" s="1"/>
  <c r="M207" i="1"/>
  <c r="L207" i="1" s="1"/>
  <c r="M237" i="1"/>
  <c r="L237" i="1" s="1"/>
  <c r="M66" i="1"/>
  <c r="L66" i="1" s="1"/>
  <c r="M256" i="1"/>
  <c r="L256" i="1" s="1"/>
  <c r="M128" i="1"/>
  <c r="L128" i="1" s="1"/>
  <c r="M159" i="1"/>
  <c r="L159" i="1" s="1"/>
  <c r="M150" i="1"/>
  <c r="L150" i="1" s="1"/>
  <c r="M194" i="1"/>
  <c r="L194" i="1" s="1"/>
  <c r="M23" i="1"/>
  <c r="L23" i="1" s="1"/>
  <c r="M224" i="1"/>
  <c r="L224" i="1" s="1"/>
  <c r="M96" i="1"/>
  <c r="L96" i="1" s="1"/>
  <c r="M105" i="1"/>
  <c r="L105" i="1" s="1"/>
  <c r="M241" i="1"/>
  <c r="L241" i="1" s="1"/>
  <c r="M149" i="1"/>
  <c r="L149" i="1" s="1"/>
  <c r="M218" i="1"/>
  <c r="L218" i="1" s="1"/>
  <c r="M69" i="1"/>
  <c r="L69" i="1" s="1"/>
  <c r="M273" i="1"/>
  <c r="L273" i="1" s="1"/>
  <c r="M117" i="1"/>
  <c r="L117" i="1" s="1"/>
  <c r="M94" i="1"/>
  <c r="L94" i="1" s="1"/>
  <c r="M151" i="1"/>
  <c r="L151" i="1" s="1"/>
  <c r="M192" i="1"/>
  <c r="L192" i="1" s="1"/>
  <c r="M64" i="1"/>
  <c r="L64" i="1" s="1"/>
  <c r="M163" i="1"/>
  <c r="L163" i="1" s="1"/>
  <c r="M275" i="1"/>
  <c r="L275" i="1" s="1"/>
  <c r="M239" i="1"/>
  <c r="L239" i="1" s="1"/>
  <c r="M197" i="1"/>
  <c r="L197" i="1" s="1"/>
  <c r="M161" i="1"/>
  <c r="L161" i="1" s="1"/>
  <c r="M126" i="1"/>
  <c r="L126" i="1" s="1"/>
  <c r="M83" i="1"/>
  <c r="L83" i="1" s="1"/>
  <c r="M47" i="1"/>
  <c r="L47" i="1" s="1"/>
  <c r="M11" i="1"/>
  <c r="L11" i="1" s="1"/>
  <c r="M287" i="1"/>
  <c r="L287" i="1" s="1"/>
  <c r="M251" i="1"/>
  <c r="L251" i="1" s="1"/>
  <c r="M217" i="1"/>
  <c r="L217" i="1" s="1"/>
  <c r="M174" i="1"/>
  <c r="L174" i="1" s="1"/>
  <c r="M138" i="1"/>
  <c r="L138" i="1" s="1"/>
  <c r="M102" i="1"/>
  <c r="L102" i="1" s="1"/>
  <c r="M59" i="1"/>
  <c r="L59" i="1" s="1"/>
  <c r="M25" i="1"/>
  <c r="L25" i="1" s="1"/>
  <c r="M293" i="1"/>
  <c r="L293" i="1" s="1"/>
  <c r="M235" i="1"/>
  <c r="L235" i="1" s="1"/>
  <c r="M179" i="1"/>
  <c r="L179" i="1" s="1"/>
  <c r="M122" i="1"/>
  <c r="L122" i="1" s="1"/>
  <c r="M65" i="1"/>
  <c r="L65" i="1" s="1"/>
  <c r="M9" i="1"/>
  <c r="L9" i="1" s="1"/>
  <c r="M301" i="1"/>
  <c r="L301" i="1" s="1"/>
  <c r="M258" i="1"/>
  <c r="L258" i="1" s="1"/>
  <c r="M215" i="1"/>
  <c r="L215" i="1" s="1"/>
  <c r="M173" i="1"/>
  <c r="L173" i="1" s="1"/>
  <c r="M130" i="1"/>
  <c r="L130" i="1" s="1"/>
  <c r="M87" i="1"/>
  <c r="L87" i="1" s="1"/>
  <c r="M45" i="1"/>
  <c r="L45" i="1" s="1"/>
  <c r="M272" i="1"/>
  <c r="L272" i="1" s="1"/>
  <c r="M240" i="1"/>
  <c r="L240" i="1" s="1"/>
  <c r="M208" i="1"/>
  <c r="L208" i="1" s="1"/>
  <c r="M176" i="1"/>
  <c r="L176" i="1" s="1"/>
  <c r="M144" i="1"/>
  <c r="L144" i="1" s="1"/>
  <c r="M112" i="1"/>
  <c r="L112" i="1" s="1"/>
  <c r="M80" i="1"/>
  <c r="L80" i="1" s="1"/>
  <c r="M48" i="1"/>
  <c r="L48" i="1" s="1"/>
  <c r="M4" i="1"/>
  <c r="L4" i="1" s="1"/>
  <c r="M20" i="1"/>
  <c r="L20" i="1" s="1"/>
  <c r="M36" i="1"/>
  <c r="L36" i="1" s="1"/>
  <c r="M52" i="1"/>
  <c r="L52" i="1" s="1"/>
  <c r="M68" i="1"/>
  <c r="L68" i="1" s="1"/>
  <c r="M84" i="1"/>
  <c r="L84" i="1" s="1"/>
  <c r="M100" i="1"/>
  <c r="L100" i="1" s="1"/>
  <c r="M116" i="1"/>
  <c r="L116" i="1" s="1"/>
  <c r="M132" i="1"/>
  <c r="L132" i="1" s="1"/>
  <c r="M148" i="1"/>
  <c r="L148" i="1" s="1"/>
  <c r="M164" i="1"/>
  <c r="L164" i="1" s="1"/>
  <c r="M180" i="1"/>
  <c r="L180" i="1" s="1"/>
  <c r="M196" i="1"/>
  <c r="L196" i="1" s="1"/>
  <c r="M212" i="1"/>
  <c r="L212" i="1" s="1"/>
  <c r="M228" i="1"/>
  <c r="L228" i="1" s="1"/>
  <c r="M244" i="1"/>
  <c r="L244" i="1" s="1"/>
  <c r="M260" i="1"/>
  <c r="L260" i="1" s="1"/>
  <c r="M276" i="1"/>
  <c r="L276" i="1" s="1"/>
  <c r="M292" i="1"/>
  <c r="L292" i="1" s="1"/>
  <c r="M7" i="1"/>
  <c r="L7" i="1" s="1"/>
  <c r="M29" i="1"/>
  <c r="L29" i="1" s="1"/>
  <c r="M50" i="1"/>
  <c r="L50" i="1" s="1"/>
  <c r="M71" i="1"/>
  <c r="L71" i="1" s="1"/>
  <c r="M93" i="1"/>
  <c r="L93" i="1" s="1"/>
  <c r="M114" i="1"/>
  <c r="L114" i="1" s="1"/>
  <c r="M135" i="1"/>
  <c r="L135" i="1" s="1"/>
  <c r="M157" i="1"/>
  <c r="L157" i="1" s="1"/>
  <c r="M178" i="1"/>
  <c r="L178" i="1" s="1"/>
  <c r="M199" i="1"/>
  <c r="L199" i="1" s="1"/>
  <c r="M221" i="1"/>
  <c r="L221" i="1" s="1"/>
  <c r="M242" i="1"/>
  <c r="L242" i="1" s="1"/>
  <c r="M263" i="1"/>
  <c r="L263" i="1" s="1"/>
  <c r="M285" i="1"/>
  <c r="L285" i="1" s="1"/>
  <c r="M15" i="1"/>
  <c r="L15" i="1" s="1"/>
  <c r="M43" i="1"/>
  <c r="L43" i="1" s="1"/>
  <c r="M73" i="1"/>
  <c r="L73" i="1" s="1"/>
  <c r="M101" i="1"/>
  <c r="L101" i="1" s="1"/>
  <c r="M129" i="1"/>
  <c r="L129" i="1" s="1"/>
  <c r="M158" i="1"/>
  <c r="L158" i="1" s="1"/>
  <c r="M186" i="1"/>
  <c r="L186" i="1" s="1"/>
  <c r="M214" i="1"/>
  <c r="L214" i="1" s="1"/>
  <c r="M243" i="1"/>
  <c r="L243" i="1" s="1"/>
  <c r="M271" i="1"/>
  <c r="L271" i="1" s="1"/>
  <c r="M299" i="1"/>
  <c r="L299" i="1" s="1"/>
  <c r="M10" i="1"/>
  <c r="L10" i="1" s="1"/>
  <c r="M38" i="1"/>
  <c r="L38" i="1" s="1"/>
  <c r="M67" i="1"/>
  <c r="L67" i="1" s="1"/>
  <c r="M95" i="1"/>
  <c r="L95" i="1" s="1"/>
  <c r="M123" i="1"/>
  <c r="L123" i="1" s="1"/>
  <c r="M153" i="1"/>
  <c r="L153" i="1" s="1"/>
  <c r="M181" i="1"/>
  <c r="L181" i="1" s="1"/>
  <c r="M209" i="1"/>
  <c r="L209" i="1" s="1"/>
  <c r="M238" i="1"/>
  <c r="L238" i="1" s="1"/>
  <c r="M266" i="1"/>
  <c r="L266" i="1" s="1"/>
  <c r="M294" i="1"/>
  <c r="L294" i="1" s="1"/>
  <c r="M5" i="1"/>
  <c r="L5" i="1" s="1"/>
  <c r="M33" i="1"/>
  <c r="L33" i="1" s="1"/>
  <c r="M62" i="1"/>
  <c r="L62" i="1" s="1"/>
  <c r="M90" i="1"/>
  <c r="L90" i="1" s="1"/>
  <c r="M118" i="1"/>
  <c r="L118" i="1" s="1"/>
  <c r="M147" i="1"/>
  <c r="L147" i="1" s="1"/>
  <c r="M175" i="1"/>
  <c r="L175" i="1" s="1"/>
  <c r="M203" i="1"/>
  <c r="L203" i="1" s="1"/>
  <c r="M233" i="1"/>
  <c r="L233" i="1" s="1"/>
  <c r="M261" i="1"/>
  <c r="L261" i="1" s="1"/>
  <c r="M289" i="1"/>
  <c r="L289" i="1" s="1"/>
  <c r="M21" i="1"/>
  <c r="L21" i="1" s="1"/>
  <c r="M134" i="1"/>
  <c r="L134" i="1" s="1"/>
  <c r="M249" i="1"/>
  <c r="L249" i="1" s="1"/>
  <c r="M113" i="1"/>
  <c r="L113" i="1" s="1"/>
  <c r="M227" i="1"/>
  <c r="L227" i="1" s="1"/>
  <c r="M63" i="1"/>
  <c r="L63" i="1" s="1"/>
  <c r="M177" i="1"/>
  <c r="L177" i="1" s="1"/>
  <c r="M291" i="1"/>
  <c r="L291" i="1" s="1"/>
  <c r="M42" i="1"/>
  <c r="L42" i="1" s="1"/>
  <c r="M155" i="1"/>
  <c r="L155" i="1" s="1"/>
  <c r="M270" i="1"/>
  <c r="L270" i="1" s="1"/>
  <c r="M8" i="1"/>
  <c r="L8" i="1" s="1"/>
  <c r="M24" i="1"/>
  <c r="L24" i="1" s="1"/>
  <c r="M40" i="1"/>
  <c r="L40" i="1" s="1"/>
  <c r="M56" i="1"/>
  <c r="L56" i="1" s="1"/>
  <c r="M72" i="1"/>
  <c r="L72" i="1" s="1"/>
  <c r="M88" i="1"/>
  <c r="L88" i="1" s="1"/>
  <c r="M104" i="1"/>
  <c r="L104" i="1" s="1"/>
  <c r="M120" i="1"/>
  <c r="L120" i="1" s="1"/>
  <c r="M136" i="1"/>
  <c r="L136" i="1" s="1"/>
  <c r="M152" i="1"/>
  <c r="L152" i="1" s="1"/>
  <c r="M168" i="1"/>
  <c r="L168" i="1" s="1"/>
  <c r="M184" i="1"/>
  <c r="L184" i="1" s="1"/>
  <c r="M200" i="1"/>
  <c r="L200" i="1" s="1"/>
  <c r="M216" i="1"/>
  <c r="L216" i="1" s="1"/>
  <c r="M232" i="1"/>
  <c r="L232" i="1" s="1"/>
  <c r="M248" i="1"/>
  <c r="L248" i="1" s="1"/>
  <c r="M264" i="1"/>
  <c r="L264" i="1" s="1"/>
  <c r="M280" i="1"/>
  <c r="L280" i="1" s="1"/>
  <c r="M296" i="1"/>
  <c r="L296" i="1" s="1"/>
  <c r="M13" i="1"/>
  <c r="L13" i="1" s="1"/>
  <c r="M34" i="1"/>
  <c r="L34" i="1" s="1"/>
  <c r="M55" i="1"/>
  <c r="L55" i="1" s="1"/>
  <c r="M77" i="1"/>
  <c r="L77" i="1" s="1"/>
  <c r="M98" i="1"/>
  <c r="L98" i="1" s="1"/>
  <c r="M119" i="1"/>
  <c r="L119" i="1" s="1"/>
  <c r="M141" i="1"/>
  <c r="L141" i="1" s="1"/>
  <c r="M162" i="1"/>
  <c r="L162" i="1" s="1"/>
  <c r="M183" i="1"/>
  <c r="L183" i="1" s="1"/>
  <c r="M205" i="1"/>
  <c r="L205" i="1" s="1"/>
  <c r="M226" i="1"/>
  <c r="L226" i="1" s="1"/>
  <c r="M247" i="1"/>
  <c r="L247" i="1" s="1"/>
  <c r="M269" i="1"/>
  <c r="L269" i="1" s="1"/>
  <c r="M290" i="1"/>
  <c r="L290" i="1" s="1"/>
  <c r="M22" i="1"/>
  <c r="L22" i="1" s="1"/>
  <c r="M51" i="1"/>
  <c r="L51" i="1" s="1"/>
  <c r="M79" i="1"/>
  <c r="L79" i="1" s="1"/>
  <c r="M107" i="1"/>
  <c r="L107" i="1" s="1"/>
  <c r="M137" i="1"/>
  <c r="L137" i="1" s="1"/>
  <c r="M165" i="1"/>
  <c r="L165" i="1" s="1"/>
  <c r="M193" i="1"/>
  <c r="L193" i="1" s="1"/>
  <c r="M222" i="1"/>
  <c r="L222" i="1" s="1"/>
  <c r="M250" i="1"/>
  <c r="L250" i="1" s="1"/>
  <c r="M278" i="1"/>
  <c r="L278" i="1" s="1"/>
  <c r="M281" i="1"/>
  <c r="L281" i="1" s="1"/>
  <c r="M245" i="1"/>
  <c r="L245" i="1" s="1"/>
  <c r="M202" i="1"/>
  <c r="L202" i="1" s="1"/>
  <c r="M166" i="1"/>
  <c r="L166" i="1" s="1"/>
  <c r="M131" i="1"/>
  <c r="L131" i="1" s="1"/>
  <c r="M89" i="1"/>
  <c r="L89" i="1" s="1"/>
  <c r="M53" i="1"/>
  <c r="L53" i="1" s="1"/>
  <c r="M17" i="1"/>
  <c r="L17" i="1" s="1"/>
  <c r="M286" i="1"/>
  <c r="L286" i="1" s="1"/>
  <c r="M229" i="1"/>
  <c r="L229" i="1" s="1"/>
  <c r="M171" i="1"/>
  <c r="L171" i="1" s="1"/>
  <c r="M115" i="1"/>
  <c r="L115" i="1" s="1"/>
  <c r="M58" i="1"/>
  <c r="L58" i="1" s="1"/>
  <c r="M295" i="1"/>
  <c r="L295" i="1" s="1"/>
  <c r="M253" i="1"/>
  <c r="L253" i="1" s="1"/>
  <c r="M210" i="1"/>
  <c r="L210" i="1" s="1"/>
  <c r="M167" i="1"/>
  <c r="L167" i="1" s="1"/>
  <c r="M125" i="1"/>
  <c r="L125" i="1" s="1"/>
  <c r="M82" i="1"/>
  <c r="L82" i="1" s="1"/>
  <c r="M39" i="1"/>
  <c r="L39" i="1" s="1"/>
  <c r="M300" i="1"/>
  <c r="L300" i="1" s="1"/>
  <c r="M268" i="1"/>
  <c r="L268" i="1" s="1"/>
  <c r="M236" i="1"/>
  <c r="L236" i="1" s="1"/>
  <c r="M204" i="1"/>
  <c r="L204" i="1" s="1"/>
  <c r="M172" i="1"/>
  <c r="L172" i="1" s="1"/>
  <c r="M140" i="1"/>
  <c r="L140" i="1" s="1"/>
  <c r="M108" i="1"/>
  <c r="L108" i="1" s="1"/>
  <c r="M76" i="1"/>
  <c r="L76" i="1" s="1"/>
  <c r="M44" i="1"/>
  <c r="L44" i="1" s="1"/>
  <c r="M12" i="1"/>
  <c r="L12" i="1" s="1"/>
  <c r="B12" i="1" l="1"/>
  <c r="B13" i="1"/>
  <c r="I3" i="1"/>
  <c r="B8" i="1"/>
  <c r="B9" i="1"/>
  <c r="I181" i="1"/>
  <c r="I335" i="1"/>
  <c r="I291" i="1"/>
  <c r="I248" i="1"/>
  <c r="I180" i="1"/>
  <c r="I95" i="1"/>
  <c r="I10" i="1"/>
  <c r="I331" i="1"/>
  <c r="I287" i="1"/>
  <c r="I244" i="1"/>
  <c r="I175" i="1"/>
  <c r="I90" i="1"/>
  <c r="I4" i="1"/>
  <c r="I329" i="1"/>
  <c r="I286" i="1"/>
  <c r="I243" i="1"/>
  <c r="I170" i="1"/>
  <c r="I84" i="1"/>
  <c r="I357" i="1"/>
  <c r="I315" i="1"/>
  <c r="I271" i="1"/>
  <c r="I228" i="1"/>
  <c r="I143" i="1"/>
  <c r="I58" i="1"/>
  <c r="I222" i="1"/>
  <c r="I200" i="1"/>
  <c r="I179" i="1"/>
  <c r="I158" i="1"/>
  <c r="I136" i="1"/>
  <c r="I115" i="1"/>
  <c r="I88" i="1"/>
  <c r="I62" i="1"/>
  <c r="I30" i="1"/>
  <c r="I339" i="1"/>
  <c r="I295" i="1"/>
  <c r="I252" i="1"/>
  <c r="I210" i="1"/>
  <c r="I167" i="1"/>
  <c r="I124" i="1"/>
  <c r="I82" i="1"/>
  <c r="I39" i="1"/>
  <c r="I353" i="1"/>
  <c r="I311" i="1"/>
  <c r="I267" i="1"/>
  <c r="I224" i="1"/>
  <c r="I182" i="1"/>
  <c r="I139" i="1"/>
  <c r="I96" i="1"/>
  <c r="I54" i="1"/>
  <c r="I11" i="1"/>
  <c r="I326" i="1"/>
  <c r="I261" i="1"/>
  <c r="I197" i="1"/>
  <c r="I324" i="1"/>
  <c r="I280" i="1"/>
  <c r="I238" i="1"/>
  <c r="I159" i="1"/>
  <c r="I74" i="1"/>
  <c r="I302" i="1"/>
  <c r="I320" i="1"/>
  <c r="I276" i="1"/>
  <c r="I234" i="1"/>
  <c r="I154" i="1"/>
  <c r="I68" i="1"/>
  <c r="I361" i="1"/>
  <c r="I319" i="1"/>
  <c r="I275" i="1"/>
  <c r="I232" i="1"/>
  <c r="I148" i="1"/>
  <c r="I63" i="1"/>
  <c r="I347" i="1"/>
  <c r="I304" i="1"/>
  <c r="I260" i="1"/>
  <c r="I207" i="1"/>
  <c r="I122" i="1"/>
  <c r="I36" i="1"/>
  <c r="I216" i="1"/>
  <c r="I195" i="1"/>
  <c r="I174" i="1"/>
  <c r="I152" i="1"/>
  <c r="I131" i="1"/>
  <c r="I110" i="1"/>
  <c r="I83" i="1"/>
  <c r="I51" i="1"/>
  <c r="I24" i="1"/>
  <c r="I360" i="1"/>
  <c r="I323" i="1"/>
  <c r="I279" i="1"/>
  <c r="I236" i="1"/>
  <c r="I194" i="1"/>
  <c r="I151" i="1"/>
  <c r="I108" i="1"/>
  <c r="I66" i="1"/>
  <c r="I23" i="1"/>
  <c r="I337" i="1"/>
  <c r="I294" i="1"/>
  <c r="I251" i="1"/>
  <c r="I208" i="1"/>
  <c r="I166" i="1"/>
  <c r="I123" i="1"/>
  <c r="I80" i="1"/>
  <c r="I38" i="1"/>
  <c r="I358" i="1"/>
  <c r="I310" i="1"/>
  <c r="I245" i="1"/>
  <c r="I5" i="1"/>
  <c r="I21" i="1"/>
  <c r="I37" i="1"/>
  <c r="I53" i="1"/>
  <c r="I69" i="1"/>
  <c r="I85" i="1"/>
  <c r="I101" i="1"/>
  <c r="I117" i="1"/>
  <c r="I133" i="1"/>
  <c r="I9" i="1"/>
  <c r="I25" i="1"/>
  <c r="I41" i="1"/>
  <c r="I57" i="1"/>
  <c r="I73" i="1"/>
  <c r="I89" i="1"/>
  <c r="I105" i="1"/>
  <c r="I121" i="1"/>
  <c r="I137" i="1"/>
  <c r="I153" i="1"/>
  <c r="I169" i="1"/>
  <c r="I185" i="1"/>
  <c r="I201" i="1"/>
  <c r="I217" i="1"/>
  <c r="I233" i="1"/>
  <c r="I249" i="1"/>
  <c r="I265" i="1"/>
  <c r="I281" i="1"/>
  <c r="I297" i="1"/>
  <c r="I314" i="1"/>
  <c r="I330" i="1"/>
  <c r="I346" i="1"/>
  <c r="I362" i="1"/>
  <c r="I22" i="1"/>
  <c r="I43" i="1"/>
  <c r="I64" i="1"/>
  <c r="I86" i="1"/>
  <c r="I107" i="1"/>
  <c r="I128" i="1"/>
  <c r="I150" i="1"/>
  <c r="I171" i="1"/>
  <c r="I192" i="1"/>
  <c r="I214" i="1"/>
  <c r="I235" i="1"/>
  <c r="I256" i="1"/>
  <c r="I278" i="1"/>
  <c r="I299" i="1"/>
  <c r="I321" i="1"/>
  <c r="I343" i="1"/>
  <c r="I7" i="1"/>
  <c r="I28" i="1"/>
  <c r="I50" i="1"/>
  <c r="I71" i="1"/>
  <c r="I92" i="1"/>
  <c r="I114" i="1"/>
  <c r="I135" i="1"/>
  <c r="I156" i="1"/>
  <c r="I178" i="1"/>
  <c r="I199" i="1"/>
  <c r="I220" i="1"/>
  <c r="I242" i="1"/>
  <c r="I263" i="1"/>
  <c r="I284" i="1"/>
  <c r="I307" i="1"/>
  <c r="I328" i="1"/>
  <c r="I13" i="1"/>
  <c r="I29" i="1"/>
  <c r="I45" i="1"/>
  <c r="I61" i="1"/>
  <c r="I77" i="1"/>
  <c r="I93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8" i="1"/>
  <c r="I334" i="1"/>
  <c r="I350" i="1"/>
  <c r="I6" i="1"/>
  <c r="I27" i="1"/>
  <c r="I48" i="1"/>
  <c r="I70" i="1"/>
  <c r="I91" i="1"/>
  <c r="I112" i="1"/>
  <c r="I134" i="1"/>
  <c r="I155" i="1"/>
  <c r="I176" i="1"/>
  <c r="I198" i="1"/>
  <c r="I219" i="1"/>
  <c r="I240" i="1"/>
  <c r="I262" i="1"/>
  <c r="I283" i="1"/>
  <c r="I305" i="1"/>
  <c r="I327" i="1"/>
  <c r="I348" i="1"/>
  <c r="I12" i="1"/>
  <c r="I34" i="1"/>
  <c r="I55" i="1"/>
  <c r="I76" i="1"/>
  <c r="I98" i="1"/>
  <c r="I119" i="1"/>
  <c r="I140" i="1"/>
  <c r="I162" i="1"/>
  <c r="I183" i="1"/>
  <c r="I204" i="1"/>
  <c r="I226" i="1"/>
  <c r="I247" i="1"/>
  <c r="I268" i="1"/>
  <c r="I290" i="1"/>
  <c r="I312" i="1"/>
  <c r="I333" i="1"/>
  <c r="I355" i="1"/>
  <c r="I14" i="1"/>
  <c r="I35" i="1"/>
  <c r="I56" i="1"/>
  <c r="I78" i="1"/>
  <c r="I99" i="1"/>
  <c r="I17" i="1"/>
  <c r="I33" i="1"/>
  <c r="I49" i="1"/>
  <c r="I65" i="1"/>
  <c r="I81" i="1"/>
  <c r="I97" i="1"/>
  <c r="I113" i="1"/>
  <c r="I129" i="1"/>
  <c r="I145" i="1"/>
  <c r="I161" i="1"/>
  <c r="I177" i="1"/>
  <c r="I193" i="1"/>
  <c r="I209" i="1"/>
  <c r="I225" i="1"/>
  <c r="I241" i="1"/>
  <c r="I257" i="1"/>
  <c r="I273" i="1"/>
  <c r="I289" i="1"/>
  <c r="I306" i="1"/>
  <c r="I322" i="1"/>
  <c r="I338" i="1"/>
  <c r="I356" i="1"/>
  <c r="I313" i="1"/>
  <c r="I270" i="1"/>
  <c r="I223" i="1"/>
  <c r="I138" i="1"/>
  <c r="I52" i="1"/>
  <c r="I352" i="1"/>
  <c r="I309" i="1"/>
  <c r="I266" i="1"/>
  <c r="I218" i="1"/>
  <c r="I132" i="1"/>
  <c r="I47" i="1"/>
  <c r="I351" i="1"/>
  <c r="I308" i="1"/>
  <c r="I264" i="1"/>
  <c r="I212" i="1"/>
  <c r="I127" i="1"/>
  <c r="I42" i="1"/>
  <c r="I336" i="1"/>
  <c r="I292" i="1"/>
  <c r="I250" i="1"/>
  <c r="I186" i="1"/>
  <c r="I100" i="1"/>
  <c r="I15" i="1"/>
  <c r="I211" i="1"/>
  <c r="I190" i="1"/>
  <c r="I168" i="1"/>
  <c r="I147" i="1"/>
  <c r="I126" i="1"/>
  <c r="I104" i="1"/>
  <c r="I72" i="1"/>
  <c r="I46" i="1"/>
  <c r="I19" i="1"/>
  <c r="I349" i="1"/>
  <c r="I317" i="1"/>
  <c r="I274" i="1"/>
  <c r="I231" i="1"/>
  <c r="I188" i="1"/>
  <c r="I146" i="1"/>
  <c r="I103" i="1"/>
  <c r="I60" i="1"/>
  <c r="I18" i="1"/>
  <c r="I332" i="1"/>
  <c r="I288" i="1"/>
  <c r="I246" i="1"/>
  <c r="I203" i="1"/>
  <c r="I160" i="1"/>
  <c r="I118" i="1"/>
  <c r="I75" i="1"/>
  <c r="I32" i="1"/>
  <c r="I354" i="1"/>
  <c r="I293" i="1"/>
  <c r="I229" i="1"/>
  <c r="I165" i="1"/>
  <c r="I345" i="1"/>
  <c r="I303" i="1"/>
  <c r="I259" i="1"/>
  <c r="I202" i="1"/>
  <c r="I116" i="1"/>
  <c r="I31" i="1"/>
  <c r="I341" i="1"/>
  <c r="I298" i="1"/>
  <c r="I255" i="1"/>
  <c r="I196" i="1"/>
  <c r="I111" i="1"/>
  <c r="I26" i="1"/>
  <c r="I340" i="1"/>
  <c r="I296" i="1"/>
  <c r="I254" i="1"/>
  <c r="I191" i="1"/>
  <c r="I106" i="1"/>
  <c r="I20" i="1"/>
  <c r="I325" i="1"/>
  <c r="I282" i="1"/>
  <c r="I239" i="1"/>
  <c r="I164" i="1"/>
  <c r="I79" i="1"/>
  <c r="I227" i="1"/>
  <c r="I206" i="1"/>
  <c r="I184" i="1"/>
  <c r="I163" i="1"/>
  <c r="I142" i="1"/>
  <c r="I120" i="1"/>
  <c r="I94" i="1"/>
  <c r="I67" i="1"/>
  <c r="I40" i="1"/>
  <c r="I8" i="1"/>
  <c r="I344" i="1"/>
  <c r="I300" i="1"/>
  <c r="I258" i="1"/>
  <c r="I215" i="1"/>
  <c r="I172" i="1"/>
  <c r="I130" i="1"/>
  <c r="I87" i="1"/>
  <c r="I44" i="1"/>
  <c r="I359" i="1"/>
  <c r="I316" i="1"/>
  <c r="I272" i="1"/>
  <c r="I230" i="1"/>
  <c r="I187" i="1"/>
  <c r="I144" i="1"/>
  <c r="I102" i="1"/>
  <c r="I59" i="1"/>
  <c r="I16" i="1"/>
  <c r="I342" i="1"/>
  <c r="I277" i="1"/>
  <c r="I213" i="1"/>
  <c r="I149" i="1"/>
</calcChain>
</file>

<file path=xl/sharedStrings.xml><?xml version="1.0" encoding="utf-8"?>
<sst xmlns="http://schemas.openxmlformats.org/spreadsheetml/2006/main" count="33" uniqueCount="29">
  <si>
    <t>期限</t>
    <phoneticPr fontId="1" type="noConversion"/>
  </si>
  <si>
    <t>钱</t>
    <phoneticPr fontId="1" type="noConversion"/>
  </si>
  <si>
    <t>年</t>
    <phoneticPr fontId="1" type="noConversion"/>
  </si>
  <si>
    <t>元</t>
    <phoneticPr fontId="1" type="noConversion"/>
  </si>
  <si>
    <t>月数</t>
    <phoneticPr fontId="1" type="noConversion"/>
  </si>
  <si>
    <t>等额本息</t>
    <phoneticPr fontId="1" type="noConversion"/>
  </si>
  <si>
    <t>金额</t>
    <phoneticPr fontId="1" type="noConversion"/>
  </si>
  <si>
    <t>本金</t>
    <phoneticPr fontId="1" type="noConversion"/>
  </si>
  <si>
    <t>利息</t>
    <phoneticPr fontId="1" type="noConversion"/>
  </si>
  <si>
    <t>剩余本金</t>
    <phoneticPr fontId="1" type="noConversion"/>
  </si>
  <si>
    <t>等额本金</t>
    <phoneticPr fontId="1" type="noConversion"/>
  </si>
  <si>
    <t>利率</t>
    <phoneticPr fontId="1" type="noConversion"/>
  </si>
  <si>
    <t>月利率</t>
    <phoneticPr fontId="1" type="noConversion"/>
  </si>
  <si>
    <t>复利</t>
    <phoneticPr fontId="1" type="noConversion"/>
  </si>
  <si>
    <t>月</t>
    <phoneticPr fontId="1" type="noConversion"/>
  </si>
  <si>
    <t>等额本息</t>
    <phoneticPr fontId="1" type="noConversion"/>
  </si>
  <si>
    <t>总额</t>
    <phoneticPr fontId="1" type="noConversion"/>
  </si>
  <si>
    <t>利息</t>
    <phoneticPr fontId="1" type="noConversion"/>
  </si>
  <si>
    <t>等额本金</t>
    <phoneticPr fontId="1" type="noConversion"/>
  </si>
  <si>
    <t>利息</t>
    <phoneticPr fontId="1" type="noConversion"/>
  </si>
  <si>
    <t>总额</t>
    <phoneticPr fontId="1" type="noConversion"/>
  </si>
  <si>
    <t>元</t>
    <phoneticPr fontId="1" type="noConversion"/>
  </si>
  <si>
    <t>元</t>
    <phoneticPr fontId="1" type="noConversion"/>
  </si>
  <si>
    <t>元</t>
    <phoneticPr fontId="1" type="noConversion"/>
  </si>
  <si>
    <t>元</t>
    <phoneticPr fontId="1" type="noConversion"/>
  </si>
  <si>
    <t>月份</t>
    <phoneticPr fontId="1" type="noConversion"/>
  </si>
  <si>
    <t>上浮利率</t>
    <phoneticPr fontId="1" type="noConversion"/>
  </si>
  <si>
    <t>%</t>
    <phoneticPr fontId="1" type="noConversion"/>
  </si>
  <si>
    <t>上浮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</si>
</sst>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2" fillId="4" borderId="0" xfId="0" applyFont="1" applyFill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0" borderId="2" xfId="0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2"/>
  <sheetViews>
    <sheetView tabSelected="1" workbookViewId="0">
      <selection activeCell="P3" sqref="P3:P362"/>
    </sheetView>
  </sheetViews>
  <sheetFormatPr defaultRowHeight="14.25" x14ac:dyDescent="0.2"/>
  <cols>
    <col min="1" max="1" width="11" bestFit="1" customWidth="1"/>
    <col min="2" max="2" width="9.625" bestFit="1" customWidth="1"/>
    <col min="17" max="17" width="13" bestFit="1" customWidth="1"/>
  </cols>
  <sheetData>
    <row r="1" spans="1:17" x14ac:dyDescent="0.2">
      <c r="A1" s="1" t="s">
        <v>0</v>
      </c>
      <c r="B1" s="2">
        <v>30</v>
      </c>
      <c r="C1" s="1" t="s">
        <v>2</v>
      </c>
      <c r="E1" s="6"/>
      <c r="F1" s="8" t="s">
        <v>5</v>
      </c>
      <c r="G1" s="8"/>
      <c r="H1" s="8"/>
      <c r="I1" s="8"/>
      <c r="J1" s="8" t="s">
        <v>10</v>
      </c>
      <c r="K1" s="8"/>
      <c r="L1" s="8"/>
      <c r="M1" s="8"/>
    </row>
    <row r="2" spans="1:17" ht="15" x14ac:dyDescent="0.2">
      <c r="A2" s="1" t="s">
        <v>1</v>
      </c>
      <c r="B2" s="3">
        <v>1000000</v>
      </c>
      <c r="C2" s="1" t="s">
        <v>3</v>
      </c>
      <c r="E2" s="1" t="s">
        <v>25</v>
      </c>
      <c r="F2" s="4" t="s">
        <v>6</v>
      </c>
      <c r="G2" s="4" t="s">
        <v>7</v>
      </c>
      <c r="H2" s="4" t="s">
        <v>8</v>
      </c>
      <c r="I2" s="4" t="s">
        <v>9</v>
      </c>
      <c r="J2" s="5" t="s">
        <v>6</v>
      </c>
      <c r="K2" s="5" t="s">
        <v>7</v>
      </c>
      <c r="L2" s="5" t="s">
        <v>8</v>
      </c>
      <c r="M2" s="5" t="s">
        <v>9</v>
      </c>
      <c r="N2" s="2" t="s">
        <v>11</v>
      </c>
      <c r="O2" s="1" t="s">
        <v>28</v>
      </c>
      <c r="P2" s="1" t="s">
        <v>12</v>
      </c>
      <c r="Q2" s="1" t="s">
        <v>13</v>
      </c>
    </row>
    <row r="3" spans="1:17" x14ac:dyDescent="0.2">
      <c r="A3" s="1" t="s">
        <v>4</v>
      </c>
      <c r="B3" s="1">
        <f>B1*12</f>
        <v>360</v>
      </c>
      <c r="C3" s="1" t="s">
        <v>14</v>
      </c>
      <c r="E3" s="1">
        <v>1</v>
      </c>
      <c r="F3" s="4">
        <f t="shared" ref="F3:F66" si="0">IF(E3&lt;=$B$3, $B$2*P3*Q3/(Q3-1), 0)</f>
        <v>6076.105395806896</v>
      </c>
      <c r="G3" s="4">
        <f t="shared" ref="G3:G66" si="1">IF(E3&lt;=$B$3,$B$2*P3*POWER((1+P3),(E3-1))/(Q3-1),0)</f>
        <v>971.9387291402295</v>
      </c>
      <c r="H3" s="4">
        <f t="shared" ref="H3:H66" si="2">IF(E3&lt;=$B$3,$B$2*P3*(Q3-POWER((1+P3),(E3-1)))/(Q3-1),0)</f>
        <v>5104.166666666667</v>
      </c>
      <c r="I3" s="4">
        <f>IF($B$2-SUM($G$3:G3)&lt; 0.001,0,$B$2-SUM($G$3:G3))</f>
        <v>999028.06127085979</v>
      </c>
      <c r="J3" s="5">
        <f t="shared" ref="J3:J66" si="3">IF(E3&lt;=$B$3, ($B$2/$B$3)+($B$2 - ($B$2/$B$3) * (E3-1))*P3,0)</f>
        <v>7881.9444444444453</v>
      </c>
      <c r="K3" s="5">
        <f t="shared" ref="K3:K66" si="4">IF(E3&lt;=$B$3,$B$2/$B$3,0)</f>
        <v>2777.7777777777778</v>
      </c>
      <c r="L3" s="5">
        <f>(K3+M3)*P3</f>
        <v>5104.166666666667</v>
      </c>
      <c r="M3" s="5">
        <f>IF(E3&lt;=$B$3,$B$2-SUM($K$3:K3),0)</f>
        <v>997222.22222222225</v>
      </c>
      <c r="N3" s="2">
        <v>4.9000000000000004</v>
      </c>
      <c r="O3" s="1">
        <f>N3*$B$4/100</f>
        <v>6.125</v>
      </c>
      <c r="P3" s="1">
        <f>O3/1200</f>
        <v>5.1041666666666666E-3</v>
      </c>
      <c r="Q3" s="1">
        <f>POWER((1+P3),$B$3)</f>
        <v>6.2515313091616163</v>
      </c>
    </row>
    <row r="4" spans="1:17" ht="15" x14ac:dyDescent="0.2">
      <c r="A4" s="1" t="s">
        <v>26</v>
      </c>
      <c r="B4" s="3">
        <v>125</v>
      </c>
      <c r="C4" s="1" t="s">
        <v>27</v>
      </c>
      <c r="E4" s="1">
        <v>2</v>
      </c>
      <c r="F4" s="4">
        <f t="shared" si="0"/>
        <v>6076.105395806896</v>
      </c>
      <c r="G4" s="4">
        <f t="shared" si="1"/>
        <v>976.89966640354942</v>
      </c>
      <c r="H4" s="4">
        <f t="shared" si="2"/>
        <v>5099.2057294033475</v>
      </c>
      <c r="I4" s="4">
        <f>IF($B$2-SUM($G$3:G4)&lt; 0.001,0,$B$2-SUM($G$3:G4))</f>
        <v>998051.16160445625</v>
      </c>
      <c r="J4" s="5">
        <f t="shared" si="3"/>
        <v>7867.7662037037044</v>
      </c>
      <c r="K4" s="5">
        <f t="shared" si="4"/>
        <v>2777.7777777777778</v>
      </c>
      <c r="L4" s="5">
        <f t="shared" ref="L4:L67" si="5">(K4+M4)*P4</f>
        <v>5089.9884259259261</v>
      </c>
      <c r="M4" s="5">
        <f>IF(E4&lt;=$B$3,$B$2-SUM($K$3:K4),0)</f>
        <v>994444.4444444445</v>
      </c>
      <c r="N4" s="2">
        <v>4.9000000000000004</v>
      </c>
      <c r="O4" s="1">
        <f t="shared" ref="O4:O67" si="6">N4*$B$4/100</f>
        <v>6.125</v>
      </c>
      <c r="P4" s="1">
        <f t="shared" ref="P4:P67" si="7">O4/1200</f>
        <v>5.1041666666666666E-3</v>
      </c>
      <c r="Q4" s="1">
        <f t="shared" ref="Q4:Q67" si="8">POWER((1+P4),$B$3)</f>
        <v>6.2515313091616163</v>
      </c>
    </row>
    <row r="5" spans="1:17" x14ac:dyDescent="0.2">
      <c r="E5" s="1">
        <v>3</v>
      </c>
      <c r="F5" s="4">
        <f t="shared" si="0"/>
        <v>6076.105395806896</v>
      </c>
      <c r="G5" s="4">
        <f t="shared" si="1"/>
        <v>981.88592511748436</v>
      </c>
      <c r="H5" s="4">
        <f t="shared" si="2"/>
        <v>5094.2194706894115</v>
      </c>
      <c r="I5" s="4">
        <f>IF($B$2-SUM($G$3:G5)&lt; 0.001,0,$B$2-SUM($G$3:G5))</f>
        <v>997069.27567933872</v>
      </c>
      <c r="J5" s="5">
        <f t="shared" si="3"/>
        <v>7853.5879629629635</v>
      </c>
      <c r="K5" s="5">
        <f t="shared" si="4"/>
        <v>2777.7777777777778</v>
      </c>
      <c r="L5" s="5">
        <f t="shared" si="5"/>
        <v>5075.8101851851843</v>
      </c>
      <c r="M5" s="5">
        <f>IF(E5&lt;=$B$3,$B$2-SUM($K$3:K5),0)</f>
        <v>991666.66666666663</v>
      </c>
      <c r="N5" s="2">
        <v>4.9000000000000004</v>
      </c>
      <c r="O5" s="1">
        <f t="shared" si="6"/>
        <v>6.125</v>
      </c>
      <c r="P5" s="1">
        <f t="shared" si="7"/>
        <v>5.1041666666666666E-3</v>
      </c>
      <c r="Q5" s="1">
        <f t="shared" si="8"/>
        <v>6.2515313091616163</v>
      </c>
    </row>
    <row r="6" spans="1:17" x14ac:dyDescent="0.2">
      <c r="E6" s="1">
        <v>4</v>
      </c>
      <c r="F6" s="4">
        <f t="shared" si="0"/>
        <v>6076.105395806896</v>
      </c>
      <c r="G6" s="4">
        <f t="shared" si="1"/>
        <v>986.89763452693819</v>
      </c>
      <c r="H6" s="4">
        <f t="shared" si="2"/>
        <v>5089.2077612799585</v>
      </c>
      <c r="I6" s="4">
        <f>IF($B$2-SUM($G$3:G6)&lt; 0.001,0,$B$2-SUM($G$3:G6))</f>
        <v>996082.37804481178</v>
      </c>
      <c r="J6" s="5">
        <f t="shared" si="3"/>
        <v>7839.4097222222226</v>
      </c>
      <c r="K6" s="5">
        <f t="shared" si="4"/>
        <v>2777.7777777777778</v>
      </c>
      <c r="L6" s="5">
        <f t="shared" si="5"/>
        <v>5061.6319444444443</v>
      </c>
      <c r="M6" s="5">
        <f>IF(E6&lt;=$B$3,$B$2-SUM($K$3:K6),0)</f>
        <v>988888.88888888888</v>
      </c>
      <c r="N6" s="2">
        <v>4.9000000000000004</v>
      </c>
      <c r="O6" s="1">
        <f t="shared" si="6"/>
        <v>6.125</v>
      </c>
      <c r="P6" s="1">
        <f t="shared" si="7"/>
        <v>5.1041666666666666E-3</v>
      </c>
      <c r="Q6" s="1">
        <f t="shared" si="8"/>
        <v>6.2515313091616163</v>
      </c>
    </row>
    <row r="7" spans="1:17" x14ac:dyDescent="0.2">
      <c r="A7" s="9" t="s">
        <v>15</v>
      </c>
      <c r="B7" s="9"/>
      <c r="C7" s="9"/>
      <c r="E7" s="1">
        <v>5</v>
      </c>
      <c r="F7" s="4">
        <f t="shared" si="0"/>
        <v>6076.105395806896</v>
      </c>
      <c r="G7" s="4">
        <f t="shared" si="1"/>
        <v>991.93492453650288</v>
      </c>
      <c r="H7" s="4">
        <f t="shared" si="2"/>
        <v>5084.170471270394</v>
      </c>
      <c r="I7" s="4">
        <f>IF($B$2-SUM($G$3:G7)&lt; 0.001,0,$B$2-SUM($G$3:G7))</f>
        <v>995090.44312027527</v>
      </c>
      <c r="J7" s="5">
        <f t="shared" si="3"/>
        <v>7825.2314814814818</v>
      </c>
      <c r="K7" s="5">
        <f t="shared" si="4"/>
        <v>2777.7777777777778</v>
      </c>
      <c r="L7" s="5">
        <f t="shared" si="5"/>
        <v>5047.4537037037035</v>
      </c>
      <c r="M7" s="5">
        <f>IF(E7&lt;=$B$3,$B$2-SUM($K$3:K7),0)</f>
        <v>986111.11111111112</v>
      </c>
      <c r="N7" s="2">
        <v>4.9000000000000004</v>
      </c>
      <c r="O7" s="1">
        <f t="shared" si="6"/>
        <v>6.125</v>
      </c>
      <c r="P7" s="1">
        <f t="shared" si="7"/>
        <v>5.1041666666666666E-3</v>
      </c>
      <c r="Q7" s="1">
        <f t="shared" si="8"/>
        <v>6.2515313091616163</v>
      </c>
    </row>
    <row r="8" spans="1:17" x14ac:dyDescent="0.2">
      <c r="A8" s="1" t="s">
        <v>16</v>
      </c>
      <c r="B8">
        <f>SUM(G3:H362)</f>
        <v>2187397.942490486</v>
      </c>
      <c r="C8" s="1" t="s">
        <v>21</v>
      </c>
      <c r="E8" s="1">
        <v>6</v>
      </c>
      <c r="F8" s="4">
        <f t="shared" si="0"/>
        <v>6076.105395806896</v>
      </c>
      <c r="G8" s="4">
        <f t="shared" si="1"/>
        <v>996.99792571382466</v>
      </c>
      <c r="H8" s="4">
        <f t="shared" si="2"/>
        <v>5079.1074700930712</v>
      </c>
      <c r="I8" s="4">
        <f>IF($B$2-SUM($G$3:G8)&lt; 0.001,0,$B$2-SUM($G$3:G8))</f>
        <v>994093.4451945615</v>
      </c>
      <c r="J8" s="5">
        <f t="shared" si="3"/>
        <v>7811.0532407407409</v>
      </c>
      <c r="K8" s="5">
        <f t="shared" si="4"/>
        <v>2777.7777777777778</v>
      </c>
      <c r="L8" s="5">
        <f t="shared" si="5"/>
        <v>5033.2754629629626</v>
      </c>
      <c r="M8" s="5">
        <f>IF(E8&lt;=$B$3,$B$2-SUM($K$3:K8),0)</f>
        <v>983333.33333333337</v>
      </c>
      <c r="N8" s="2">
        <v>4.9000000000000004</v>
      </c>
      <c r="O8" s="1">
        <f t="shared" si="6"/>
        <v>6.125</v>
      </c>
      <c r="P8" s="1">
        <f t="shared" si="7"/>
        <v>5.1041666666666666E-3</v>
      </c>
      <c r="Q8" s="1">
        <f t="shared" si="8"/>
        <v>6.2515313091616163</v>
      </c>
    </row>
    <row r="9" spans="1:17" x14ac:dyDescent="0.2">
      <c r="A9" s="1" t="s">
        <v>17</v>
      </c>
      <c r="B9">
        <f>SUM(H3:H362)</f>
        <v>1187397.9424904934</v>
      </c>
      <c r="C9" s="1" t="s">
        <v>22</v>
      </c>
      <c r="E9" s="1">
        <v>7</v>
      </c>
      <c r="F9" s="4">
        <f t="shared" si="0"/>
        <v>6076.105395806896</v>
      </c>
      <c r="G9" s="4">
        <f t="shared" si="1"/>
        <v>1002.0867692929891</v>
      </c>
      <c r="H9" s="4">
        <f t="shared" si="2"/>
        <v>5074.0186265139073</v>
      </c>
      <c r="I9" s="4">
        <f>IF($B$2-SUM($G$3:G9)&lt; 0.001,0,$B$2-SUM($G$3:G9))</f>
        <v>993091.35842526844</v>
      </c>
      <c r="J9" s="5">
        <f t="shared" si="3"/>
        <v>7796.875</v>
      </c>
      <c r="K9" s="5">
        <f t="shared" si="4"/>
        <v>2777.7777777777778</v>
      </c>
      <c r="L9" s="5">
        <f t="shared" si="5"/>
        <v>5019.0972222222217</v>
      </c>
      <c r="M9" s="5">
        <f>IF(E9&lt;=$B$3,$B$2-SUM($K$3:K9),0)</f>
        <v>980555.5555555555</v>
      </c>
      <c r="N9" s="2">
        <v>4.9000000000000004</v>
      </c>
      <c r="O9" s="1">
        <f t="shared" si="6"/>
        <v>6.125</v>
      </c>
      <c r="P9" s="1">
        <f t="shared" si="7"/>
        <v>5.1041666666666666E-3</v>
      </c>
      <c r="Q9" s="1">
        <f t="shared" si="8"/>
        <v>6.2515313091616163</v>
      </c>
    </row>
    <row r="10" spans="1:17" x14ac:dyDescent="0.2">
      <c r="E10" s="1">
        <v>8</v>
      </c>
      <c r="F10" s="4">
        <f t="shared" si="0"/>
        <v>6076.105395806896</v>
      </c>
      <c r="G10" s="4">
        <f t="shared" si="1"/>
        <v>1007.2015871779222</v>
      </c>
      <c r="H10" s="4">
        <f t="shared" si="2"/>
        <v>5068.9038086289738</v>
      </c>
      <c r="I10" s="4">
        <f>IF($B$2-SUM($G$3:G10)&lt; 0.001,0,$B$2-SUM($G$3:G10))</f>
        <v>992084.15683809051</v>
      </c>
      <c r="J10" s="5">
        <f t="shared" si="3"/>
        <v>7782.6967592592591</v>
      </c>
      <c r="K10" s="5">
        <f t="shared" si="4"/>
        <v>2777.7777777777778</v>
      </c>
      <c r="L10" s="5">
        <f t="shared" si="5"/>
        <v>5004.9189814814808</v>
      </c>
      <c r="M10" s="5">
        <f>IF(E10&lt;=$B$3,$B$2-SUM($K$3:K10),0)</f>
        <v>977777.77777777775</v>
      </c>
      <c r="N10" s="2">
        <v>4.9000000000000004</v>
      </c>
      <c r="O10" s="1">
        <f t="shared" si="6"/>
        <v>6.125</v>
      </c>
      <c r="P10" s="1">
        <f t="shared" si="7"/>
        <v>5.1041666666666666E-3</v>
      </c>
      <c r="Q10" s="1">
        <f t="shared" si="8"/>
        <v>6.2515313091616163</v>
      </c>
    </row>
    <row r="11" spans="1:17" x14ac:dyDescent="0.2">
      <c r="A11" s="7" t="s">
        <v>18</v>
      </c>
      <c r="B11" s="7"/>
      <c r="C11" s="7"/>
      <c r="E11" s="1">
        <v>9</v>
      </c>
      <c r="F11" s="4">
        <f t="shared" si="0"/>
        <v>6076.105395806896</v>
      </c>
      <c r="G11" s="4">
        <f t="shared" si="1"/>
        <v>1012.3425119458092</v>
      </c>
      <c r="H11" s="4">
        <f t="shared" si="2"/>
        <v>5063.7628838610872</v>
      </c>
      <c r="I11" s="4">
        <f>IF($B$2-SUM($G$3:G11)&lt; 0.001,0,$B$2-SUM($G$3:G11))</f>
        <v>991071.81432614475</v>
      </c>
      <c r="J11" s="5">
        <f t="shared" si="3"/>
        <v>7768.5185185185182</v>
      </c>
      <c r="K11" s="5">
        <f t="shared" si="4"/>
        <v>2777.7777777777778</v>
      </c>
      <c r="L11" s="5">
        <f t="shared" si="5"/>
        <v>4990.7407407407409</v>
      </c>
      <c r="M11" s="5">
        <f>IF(E11&lt;=$B$3,$B$2-SUM($K$3:K11),0)</f>
        <v>975000</v>
      </c>
      <c r="N11" s="2">
        <v>4.9000000000000004</v>
      </c>
      <c r="O11" s="1">
        <f t="shared" si="6"/>
        <v>6.125</v>
      </c>
      <c r="P11" s="1">
        <f t="shared" si="7"/>
        <v>5.1041666666666666E-3</v>
      </c>
      <c r="Q11" s="1">
        <f t="shared" si="8"/>
        <v>6.2515313091616163</v>
      </c>
    </row>
    <row r="12" spans="1:17" x14ac:dyDescent="0.2">
      <c r="A12" s="1" t="s">
        <v>20</v>
      </c>
      <c r="B12">
        <f>SUM(K3:L362)</f>
        <v>1921302.0833333291</v>
      </c>
      <c r="C12" s="1" t="s">
        <v>23</v>
      </c>
      <c r="E12" s="1">
        <v>10</v>
      </c>
      <c r="F12" s="4">
        <f t="shared" si="0"/>
        <v>6076.105395806896</v>
      </c>
      <c r="G12" s="4">
        <f t="shared" si="1"/>
        <v>1017.5096768505329</v>
      </c>
      <c r="H12" s="4">
        <f t="shared" si="2"/>
        <v>5058.5957189563642</v>
      </c>
      <c r="I12" s="4">
        <f>IF($B$2-SUM($G$3:G12)&lt; 0.001,0,$B$2-SUM($G$3:G12))</f>
        <v>990054.30464929424</v>
      </c>
      <c r="J12" s="5">
        <f t="shared" si="3"/>
        <v>7754.3402777777774</v>
      </c>
      <c r="K12" s="5">
        <f t="shared" si="4"/>
        <v>2777.7777777777778</v>
      </c>
      <c r="L12" s="5">
        <f t="shared" si="5"/>
        <v>4976.5625</v>
      </c>
      <c r="M12" s="5">
        <f>IF(E12&lt;=$B$3,$B$2-SUM($K$3:K12),0)</f>
        <v>972222.22222222225</v>
      </c>
      <c r="N12" s="2">
        <v>4.9000000000000004</v>
      </c>
      <c r="O12" s="1">
        <f t="shared" si="6"/>
        <v>6.125</v>
      </c>
      <c r="P12" s="1">
        <f t="shared" si="7"/>
        <v>5.1041666666666666E-3</v>
      </c>
      <c r="Q12" s="1">
        <f t="shared" si="8"/>
        <v>6.2515313091616163</v>
      </c>
    </row>
    <row r="13" spans="1:17" x14ac:dyDescent="0.2">
      <c r="A13" s="1" t="s">
        <v>19</v>
      </c>
      <c r="B13">
        <f>SUM(L3:L362)</f>
        <v>921302.08333333745</v>
      </c>
      <c r="C13" s="1" t="s">
        <v>24</v>
      </c>
      <c r="E13" s="1">
        <v>11</v>
      </c>
      <c r="F13" s="4">
        <f t="shared" si="0"/>
        <v>6076.105395806896</v>
      </c>
      <c r="G13" s="4">
        <f t="shared" si="1"/>
        <v>1022.7032158261241</v>
      </c>
      <c r="H13" s="4">
        <f t="shared" si="2"/>
        <v>5053.4021799807724</v>
      </c>
      <c r="I13" s="4">
        <f>IF($B$2-SUM($G$3:G13)&lt; 0.001,0,$B$2-SUM($G$3:G13))</f>
        <v>989031.60143346805</v>
      </c>
      <c r="J13" s="5">
        <f t="shared" si="3"/>
        <v>7740.1620370370365</v>
      </c>
      <c r="K13" s="5">
        <f t="shared" si="4"/>
        <v>2777.7777777777778</v>
      </c>
      <c r="L13" s="5">
        <f t="shared" si="5"/>
        <v>4962.3842592592591</v>
      </c>
      <c r="M13" s="5">
        <f>IF(E13&lt;=$B$3,$B$2-SUM($K$3:K13),0)</f>
        <v>969444.4444444445</v>
      </c>
      <c r="N13" s="2">
        <v>4.9000000000000004</v>
      </c>
      <c r="O13" s="1">
        <f t="shared" si="6"/>
        <v>6.125</v>
      </c>
      <c r="P13" s="1">
        <f t="shared" si="7"/>
        <v>5.1041666666666666E-3</v>
      </c>
      <c r="Q13" s="1">
        <f t="shared" si="8"/>
        <v>6.2515313091616163</v>
      </c>
    </row>
    <row r="14" spans="1:17" x14ac:dyDescent="0.2">
      <c r="E14" s="1">
        <v>12</v>
      </c>
      <c r="F14" s="4">
        <f t="shared" si="0"/>
        <v>6076.105395806896</v>
      </c>
      <c r="G14" s="4">
        <f t="shared" si="1"/>
        <v>1027.9232634902369</v>
      </c>
      <c r="H14" s="4">
        <f t="shared" si="2"/>
        <v>5048.1821323166596</v>
      </c>
      <c r="I14" s="4">
        <f>IF($B$2-SUM($G$3:G14)&lt; 0.001,0,$B$2-SUM($G$3:G14))</f>
        <v>988003.67816997785</v>
      </c>
      <c r="J14" s="5">
        <f t="shared" si="3"/>
        <v>7725.9837962962956</v>
      </c>
      <c r="K14" s="5">
        <f t="shared" si="4"/>
        <v>2777.7777777777778</v>
      </c>
      <c r="L14" s="5">
        <f t="shared" si="5"/>
        <v>4948.2060185185182</v>
      </c>
      <c r="M14" s="5">
        <f>IF(E14&lt;=$B$3,$B$2-SUM($K$3:K14),0)</f>
        <v>966666.66666666663</v>
      </c>
      <c r="N14" s="2">
        <v>4.9000000000000004</v>
      </c>
      <c r="O14" s="1">
        <f t="shared" si="6"/>
        <v>6.125</v>
      </c>
      <c r="P14" s="1">
        <f t="shared" si="7"/>
        <v>5.1041666666666666E-3</v>
      </c>
      <c r="Q14" s="1">
        <f t="shared" si="8"/>
        <v>6.2515313091616163</v>
      </c>
    </row>
    <row r="15" spans="1:17" x14ac:dyDescent="0.2">
      <c r="E15" s="1">
        <v>13</v>
      </c>
      <c r="F15" s="4">
        <f t="shared" si="0"/>
        <v>6076.105395806896</v>
      </c>
      <c r="G15" s="4">
        <f t="shared" si="1"/>
        <v>1033.1699551476347</v>
      </c>
      <c r="H15" s="4">
        <f t="shared" si="2"/>
        <v>5042.935440659262</v>
      </c>
      <c r="I15" s="4">
        <f>IF($B$2-SUM($G$3:G15)&lt; 0.001,0,$B$2-SUM($G$3:G15))</f>
        <v>986970.50821483019</v>
      </c>
      <c r="J15" s="5">
        <f t="shared" si="3"/>
        <v>7711.8055555555547</v>
      </c>
      <c r="K15" s="5">
        <f t="shared" si="4"/>
        <v>2777.7777777777778</v>
      </c>
      <c r="L15" s="5">
        <f t="shared" si="5"/>
        <v>4934.0277777777774</v>
      </c>
      <c r="M15" s="5">
        <f>IF(E15&lt;=$B$3,$B$2-SUM($K$3:K15),0)</f>
        <v>963888.88888888888</v>
      </c>
      <c r="N15" s="2">
        <v>4.9000000000000004</v>
      </c>
      <c r="O15" s="1">
        <f t="shared" si="6"/>
        <v>6.125</v>
      </c>
      <c r="P15" s="1">
        <f t="shared" si="7"/>
        <v>5.1041666666666666E-3</v>
      </c>
      <c r="Q15" s="1">
        <f t="shared" si="8"/>
        <v>6.2515313091616163</v>
      </c>
    </row>
    <row r="16" spans="1:17" x14ac:dyDescent="0.2">
      <c r="E16" s="1">
        <v>14</v>
      </c>
      <c r="F16" s="4">
        <f t="shared" si="0"/>
        <v>6076.105395806896</v>
      </c>
      <c r="G16" s="4">
        <f t="shared" si="1"/>
        <v>1038.4434267937008</v>
      </c>
      <c r="H16" s="4">
        <f t="shared" si="2"/>
        <v>5037.6619690131956</v>
      </c>
      <c r="I16" s="4">
        <f>IF($B$2-SUM($G$3:G16)&lt; 0.001,0,$B$2-SUM($G$3:G16))</f>
        <v>985932.06478803651</v>
      </c>
      <c r="J16" s="5">
        <f t="shared" si="3"/>
        <v>7697.6273148148139</v>
      </c>
      <c r="K16" s="5">
        <f t="shared" si="4"/>
        <v>2777.7777777777778</v>
      </c>
      <c r="L16" s="5">
        <f t="shared" si="5"/>
        <v>4919.8495370370365</v>
      </c>
      <c r="M16" s="5">
        <f>IF(E16&lt;=$B$3,$B$2-SUM($K$3:K16),0)</f>
        <v>961111.11111111112</v>
      </c>
      <c r="N16" s="2">
        <v>4.9000000000000004</v>
      </c>
      <c r="O16" s="1">
        <f t="shared" si="6"/>
        <v>6.125</v>
      </c>
      <c r="P16" s="1">
        <f t="shared" si="7"/>
        <v>5.1041666666666666E-3</v>
      </c>
      <c r="Q16" s="1">
        <f t="shared" si="8"/>
        <v>6.2515313091616163</v>
      </c>
    </row>
    <row r="17" spans="5:17" x14ac:dyDescent="0.2">
      <c r="E17" s="1">
        <v>15</v>
      </c>
      <c r="F17" s="4">
        <f t="shared" si="0"/>
        <v>6076.105395806896</v>
      </c>
      <c r="G17" s="4">
        <f t="shared" si="1"/>
        <v>1043.7438151179604</v>
      </c>
      <c r="H17" s="4">
        <f t="shared" si="2"/>
        <v>5032.3615806889366</v>
      </c>
      <c r="I17" s="4">
        <f>IF($B$2-SUM($G$3:G17)&lt; 0.001,0,$B$2-SUM($G$3:G17))</f>
        <v>984888.32097291853</v>
      </c>
      <c r="J17" s="5">
        <f t="shared" si="3"/>
        <v>7683.4490740740748</v>
      </c>
      <c r="K17" s="5">
        <f t="shared" si="4"/>
        <v>2777.7777777777778</v>
      </c>
      <c r="L17" s="5">
        <f t="shared" si="5"/>
        <v>4905.6712962962965</v>
      </c>
      <c r="M17" s="5">
        <f>IF(E17&lt;=$B$3,$B$2-SUM($K$3:K17),0)</f>
        <v>958333.33333333337</v>
      </c>
      <c r="N17" s="2">
        <v>4.9000000000000004</v>
      </c>
      <c r="O17" s="1">
        <f t="shared" si="6"/>
        <v>6.125</v>
      </c>
      <c r="P17" s="1">
        <f t="shared" si="7"/>
        <v>5.1041666666666666E-3</v>
      </c>
      <c r="Q17" s="1">
        <f t="shared" si="8"/>
        <v>6.2515313091616163</v>
      </c>
    </row>
    <row r="18" spans="5:17" x14ac:dyDescent="0.2">
      <c r="E18" s="1">
        <v>16</v>
      </c>
      <c r="F18" s="4">
        <f t="shared" si="0"/>
        <v>6076.105395806896</v>
      </c>
      <c r="G18" s="4">
        <f t="shared" si="1"/>
        <v>1049.0712575076254</v>
      </c>
      <c r="H18" s="4">
        <f t="shared" si="2"/>
        <v>5027.034138299271</v>
      </c>
      <c r="I18" s="4">
        <f>IF($B$2-SUM($G$3:G18)&lt; 0.001,0,$B$2-SUM($G$3:G18))</f>
        <v>983839.24971541099</v>
      </c>
      <c r="J18" s="5">
        <f t="shared" si="3"/>
        <v>7669.2708333333339</v>
      </c>
      <c r="K18" s="5">
        <f t="shared" si="4"/>
        <v>2777.7777777777778</v>
      </c>
      <c r="L18" s="5">
        <f t="shared" si="5"/>
        <v>4891.4930555555547</v>
      </c>
      <c r="M18" s="5">
        <f>IF(E18&lt;=$B$3,$B$2-SUM($K$3:K18),0)</f>
        <v>955555.5555555555</v>
      </c>
      <c r="N18" s="2">
        <v>4.9000000000000004</v>
      </c>
      <c r="O18" s="1">
        <f t="shared" si="6"/>
        <v>6.125</v>
      </c>
      <c r="P18" s="1">
        <f t="shared" si="7"/>
        <v>5.1041666666666666E-3</v>
      </c>
      <c r="Q18" s="1">
        <f t="shared" si="8"/>
        <v>6.2515313091616163</v>
      </c>
    </row>
    <row r="19" spans="5:17" x14ac:dyDescent="0.2">
      <c r="E19" s="1">
        <v>17</v>
      </c>
      <c r="F19" s="4">
        <f t="shared" si="0"/>
        <v>6076.105395806896</v>
      </c>
      <c r="G19" s="4">
        <f t="shared" si="1"/>
        <v>1054.4258920511538</v>
      </c>
      <c r="H19" s="4">
        <f t="shared" si="2"/>
        <v>5021.6795037557431</v>
      </c>
      <c r="I19" s="4">
        <f>IF($B$2-SUM($G$3:G19)&lt; 0.001,0,$B$2-SUM($G$3:G19))</f>
        <v>982784.82382335979</v>
      </c>
      <c r="J19" s="5">
        <f t="shared" si="3"/>
        <v>7655.0925925925931</v>
      </c>
      <c r="K19" s="5">
        <f t="shared" si="4"/>
        <v>2777.7777777777778</v>
      </c>
      <c r="L19" s="5">
        <f t="shared" si="5"/>
        <v>4877.3148148148148</v>
      </c>
      <c r="M19" s="5">
        <f>IF(E19&lt;=$B$3,$B$2-SUM($K$3:K19),0)</f>
        <v>952777.77777777775</v>
      </c>
      <c r="N19" s="2">
        <v>4.9000000000000004</v>
      </c>
      <c r="O19" s="1">
        <f t="shared" si="6"/>
        <v>6.125</v>
      </c>
      <c r="P19" s="1">
        <f t="shared" si="7"/>
        <v>5.1041666666666666E-3</v>
      </c>
      <c r="Q19" s="1">
        <f t="shared" si="8"/>
        <v>6.2515313091616163</v>
      </c>
    </row>
    <row r="20" spans="5:17" x14ac:dyDescent="0.2">
      <c r="E20" s="1">
        <v>18</v>
      </c>
      <c r="F20" s="4">
        <f t="shared" si="0"/>
        <v>6076.105395806896</v>
      </c>
      <c r="G20" s="4">
        <f t="shared" si="1"/>
        <v>1059.8078575418315</v>
      </c>
      <c r="H20" s="4">
        <f t="shared" si="2"/>
        <v>5016.2975382650648</v>
      </c>
      <c r="I20" s="4">
        <f>IF($B$2-SUM($G$3:G20)&lt; 0.001,0,$B$2-SUM($G$3:G20))</f>
        <v>981725.01596581796</v>
      </c>
      <c r="J20" s="5">
        <f t="shared" si="3"/>
        <v>7640.9143518518522</v>
      </c>
      <c r="K20" s="5">
        <f t="shared" si="4"/>
        <v>2777.7777777777778</v>
      </c>
      <c r="L20" s="5">
        <f t="shared" si="5"/>
        <v>4863.1365740740739</v>
      </c>
      <c r="M20" s="5">
        <f>IF(E20&lt;=$B$3,$B$2-SUM($K$3:K20),0)</f>
        <v>950000</v>
      </c>
      <c r="N20" s="2">
        <v>4.9000000000000004</v>
      </c>
      <c r="O20" s="1">
        <f t="shared" si="6"/>
        <v>6.125</v>
      </c>
      <c r="P20" s="1">
        <f t="shared" si="7"/>
        <v>5.1041666666666666E-3</v>
      </c>
      <c r="Q20" s="1">
        <f t="shared" si="8"/>
        <v>6.2515313091616163</v>
      </c>
    </row>
    <row r="21" spans="5:17" x14ac:dyDescent="0.2">
      <c r="E21" s="1">
        <v>19</v>
      </c>
      <c r="F21" s="4">
        <f t="shared" si="0"/>
        <v>6076.105395806896</v>
      </c>
      <c r="G21" s="4">
        <f t="shared" si="1"/>
        <v>1065.217293481368</v>
      </c>
      <c r="H21" s="4">
        <f t="shared" si="2"/>
        <v>5010.8881023255281</v>
      </c>
      <c r="I21" s="4">
        <f>IF($B$2-SUM($G$3:G21)&lt; 0.001,0,$B$2-SUM($G$3:G21))</f>
        <v>980659.79867233662</v>
      </c>
      <c r="J21" s="5">
        <f t="shared" si="3"/>
        <v>7626.7361111111113</v>
      </c>
      <c r="K21" s="5">
        <f t="shared" si="4"/>
        <v>2777.7777777777778</v>
      </c>
      <c r="L21" s="5">
        <f t="shared" si="5"/>
        <v>4848.958333333333</v>
      </c>
      <c r="M21" s="5">
        <f>IF(E21&lt;=$B$3,$B$2-SUM($K$3:K21),0)</f>
        <v>947222.22222222225</v>
      </c>
      <c r="N21" s="2">
        <v>4.9000000000000004</v>
      </c>
      <c r="O21" s="1">
        <f t="shared" si="6"/>
        <v>6.125</v>
      </c>
      <c r="P21" s="1">
        <f t="shared" si="7"/>
        <v>5.1041666666666666E-3</v>
      </c>
      <c r="Q21" s="1">
        <f t="shared" si="8"/>
        <v>6.2515313091616163</v>
      </c>
    </row>
    <row r="22" spans="5:17" x14ac:dyDescent="0.2">
      <c r="E22" s="1">
        <v>20</v>
      </c>
      <c r="F22" s="4">
        <f t="shared" si="0"/>
        <v>6076.105395806896</v>
      </c>
      <c r="G22" s="4">
        <f t="shared" si="1"/>
        <v>1070.6543400835126</v>
      </c>
      <c r="H22" s="4">
        <f t="shared" si="2"/>
        <v>5005.4510557233843</v>
      </c>
      <c r="I22" s="4">
        <f>IF($B$2-SUM($G$3:G22)&lt; 0.001,0,$B$2-SUM($G$3:G22))</f>
        <v>979589.14433225302</v>
      </c>
      <c r="J22" s="5">
        <f t="shared" si="3"/>
        <v>7612.5578703703704</v>
      </c>
      <c r="K22" s="5">
        <f t="shared" si="4"/>
        <v>2777.7777777777778</v>
      </c>
      <c r="L22" s="5">
        <f t="shared" si="5"/>
        <v>4834.7800925925922</v>
      </c>
      <c r="M22" s="5">
        <f>IF(E22&lt;=$B$3,$B$2-SUM($K$3:K22),0)</f>
        <v>944444.44444444438</v>
      </c>
      <c r="N22" s="2">
        <v>4.9000000000000004</v>
      </c>
      <c r="O22" s="1">
        <f t="shared" si="6"/>
        <v>6.125</v>
      </c>
      <c r="P22" s="1">
        <f t="shared" si="7"/>
        <v>5.1041666666666666E-3</v>
      </c>
      <c r="Q22" s="1">
        <f t="shared" si="8"/>
        <v>6.2515313091616163</v>
      </c>
    </row>
    <row r="23" spans="5:17" x14ac:dyDescent="0.2">
      <c r="E23" s="1">
        <v>21</v>
      </c>
      <c r="F23" s="4">
        <f t="shared" si="0"/>
        <v>6076.105395806896</v>
      </c>
      <c r="G23" s="4">
        <f t="shared" si="1"/>
        <v>1076.1191382776888</v>
      </c>
      <c r="H23" s="4">
        <f t="shared" si="2"/>
        <v>4999.9862575292073</v>
      </c>
      <c r="I23" s="4">
        <f>IF($B$2-SUM($G$3:G23)&lt; 0.001,0,$B$2-SUM($G$3:G23))</f>
        <v>978513.02519397542</v>
      </c>
      <c r="J23" s="5">
        <f t="shared" si="3"/>
        <v>7598.3796296296296</v>
      </c>
      <c r="K23" s="5">
        <f t="shared" si="4"/>
        <v>2777.7777777777778</v>
      </c>
      <c r="L23" s="5">
        <f t="shared" si="5"/>
        <v>4820.6018518518513</v>
      </c>
      <c r="M23" s="5">
        <f>IF(E23&lt;=$B$3,$B$2-SUM($K$3:K23),0)</f>
        <v>941666.66666666663</v>
      </c>
      <c r="N23" s="2">
        <v>4.9000000000000004</v>
      </c>
      <c r="O23" s="1">
        <f t="shared" si="6"/>
        <v>6.125</v>
      </c>
      <c r="P23" s="1">
        <f t="shared" si="7"/>
        <v>5.1041666666666666E-3</v>
      </c>
      <c r="Q23" s="1">
        <f t="shared" si="8"/>
        <v>6.2515313091616163</v>
      </c>
    </row>
    <row r="24" spans="5:17" x14ac:dyDescent="0.2">
      <c r="E24" s="1">
        <v>22</v>
      </c>
      <c r="F24" s="4">
        <f t="shared" si="0"/>
        <v>6076.105395806896</v>
      </c>
      <c r="G24" s="4">
        <f t="shared" si="1"/>
        <v>1081.6118297126482</v>
      </c>
      <c r="H24" s="4">
        <f t="shared" si="2"/>
        <v>4994.4935660942483</v>
      </c>
      <c r="I24" s="4">
        <f>IF($B$2-SUM($G$3:G24)&lt; 0.001,0,$B$2-SUM($G$3:G24))</f>
        <v>977431.41336426279</v>
      </c>
      <c r="J24" s="5">
        <f t="shared" si="3"/>
        <v>7584.2013888888887</v>
      </c>
      <c r="K24" s="5">
        <f t="shared" si="4"/>
        <v>2777.7777777777778</v>
      </c>
      <c r="L24" s="5">
        <f t="shared" si="5"/>
        <v>4806.4236111111104</v>
      </c>
      <c r="M24" s="5">
        <f>IF(E24&lt;=$B$3,$B$2-SUM($K$3:K24),0)</f>
        <v>938888.88888888888</v>
      </c>
      <c r="N24" s="2">
        <v>4.9000000000000004</v>
      </c>
      <c r="O24" s="1">
        <f t="shared" si="6"/>
        <v>6.125</v>
      </c>
      <c r="P24" s="1">
        <f t="shared" si="7"/>
        <v>5.1041666666666666E-3</v>
      </c>
      <c r="Q24" s="1">
        <f t="shared" si="8"/>
        <v>6.2515313091616163</v>
      </c>
    </row>
    <row r="25" spans="5:17" x14ac:dyDescent="0.2">
      <c r="E25" s="1">
        <v>23</v>
      </c>
      <c r="F25" s="4">
        <f t="shared" si="0"/>
        <v>6076.105395806896</v>
      </c>
      <c r="G25" s="4">
        <f t="shared" si="1"/>
        <v>1087.13255676014</v>
      </c>
      <c r="H25" s="4">
        <f t="shared" si="2"/>
        <v>4988.9728390467562</v>
      </c>
      <c r="I25" s="4">
        <f>IF($B$2-SUM($G$3:G25)&lt; 0.001,0,$B$2-SUM($G$3:G25))</f>
        <v>976344.28080750257</v>
      </c>
      <c r="J25" s="5">
        <f t="shared" si="3"/>
        <v>7570.0231481481478</v>
      </c>
      <c r="K25" s="5">
        <f t="shared" si="4"/>
        <v>2777.7777777777778</v>
      </c>
      <c r="L25" s="5">
        <f t="shared" si="5"/>
        <v>4792.2453703703704</v>
      </c>
      <c r="M25" s="5">
        <f>IF(E25&lt;=$B$3,$B$2-SUM($K$3:K25),0)</f>
        <v>936111.11111111112</v>
      </c>
      <c r="N25" s="2">
        <v>4.9000000000000004</v>
      </c>
      <c r="O25" s="1">
        <f t="shared" si="6"/>
        <v>6.125</v>
      </c>
      <c r="P25" s="1">
        <f t="shared" si="7"/>
        <v>5.1041666666666666E-3</v>
      </c>
      <c r="Q25" s="1">
        <f t="shared" si="8"/>
        <v>6.2515313091616163</v>
      </c>
    </row>
    <row r="26" spans="5:17" x14ac:dyDescent="0.2">
      <c r="E26" s="1">
        <v>24</v>
      </c>
      <c r="F26" s="4">
        <f t="shared" si="0"/>
        <v>6076.105395806896</v>
      </c>
      <c r="G26" s="4">
        <f t="shared" si="1"/>
        <v>1092.6814625186032</v>
      </c>
      <c r="H26" s="4">
        <f t="shared" si="2"/>
        <v>4983.4239332882935</v>
      </c>
      <c r="I26" s="4">
        <f>IF($B$2-SUM($G$3:G26)&lt; 0.001,0,$B$2-SUM($G$3:G26))</f>
        <v>975251.59934498393</v>
      </c>
      <c r="J26" s="5">
        <f t="shared" si="3"/>
        <v>7555.8449074074069</v>
      </c>
      <c r="K26" s="5">
        <f t="shared" si="4"/>
        <v>2777.7777777777778</v>
      </c>
      <c r="L26" s="5">
        <f t="shared" si="5"/>
        <v>4778.0671296296287</v>
      </c>
      <c r="M26" s="5">
        <f>IF(E26&lt;=$B$3,$B$2-SUM($K$3:K26),0)</f>
        <v>933333.33333333326</v>
      </c>
      <c r="N26" s="2">
        <v>4.9000000000000004</v>
      </c>
      <c r="O26" s="1">
        <f t="shared" si="6"/>
        <v>6.125</v>
      </c>
      <c r="P26" s="1">
        <f t="shared" si="7"/>
        <v>5.1041666666666666E-3</v>
      </c>
      <c r="Q26" s="1">
        <f t="shared" si="8"/>
        <v>6.2515313091616163</v>
      </c>
    </row>
    <row r="27" spans="5:17" x14ac:dyDescent="0.2">
      <c r="E27" s="1">
        <v>25</v>
      </c>
      <c r="F27" s="4">
        <f t="shared" si="0"/>
        <v>6076.105395806896</v>
      </c>
      <c r="G27" s="4">
        <f t="shared" si="1"/>
        <v>1098.2586908168751</v>
      </c>
      <c r="H27" s="4">
        <f t="shared" si="2"/>
        <v>4977.8467049900219</v>
      </c>
      <c r="I27" s="4">
        <f>IF($B$2-SUM($G$3:G27)&lt; 0.001,0,$B$2-SUM($G$3:G27))</f>
        <v>974153.34065416711</v>
      </c>
      <c r="J27" s="5">
        <f t="shared" si="3"/>
        <v>7541.6666666666661</v>
      </c>
      <c r="K27" s="5">
        <f t="shared" si="4"/>
        <v>2777.7777777777778</v>
      </c>
      <c r="L27" s="5">
        <f t="shared" si="5"/>
        <v>4763.8888888888887</v>
      </c>
      <c r="M27" s="5">
        <f>IF(E27&lt;=$B$3,$B$2-SUM($K$3:K27),0)</f>
        <v>930555.5555555555</v>
      </c>
      <c r="N27" s="2">
        <v>4.9000000000000004</v>
      </c>
      <c r="O27" s="1">
        <f t="shared" si="6"/>
        <v>6.125</v>
      </c>
      <c r="P27" s="1">
        <f t="shared" si="7"/>
        <v>5.1041666666666666E-3</v>
      </c>
      <c r="Q27" s="1">
        <f t="shared" si="8"/>
        <v>6.2515313091616163</v>
      </c>
    </row>
    <row r="28" spans="5:17" x14ac:dyDescent="0.2">
      <c r="E28" s="1">
        <v>26</v>
      </c>
      <c r="F28" s="4">
        <f t="shared" si="0"/>
        <v>6076.105395806896</v>
      </c>
      <c r="G28" s="4">
        <f t="shared" si="1"/>
        <v>1103.8643862179197</v>
      </c>
      <c r="H28" s="4">
        <f t="shared" si="2"/>
        <v>4972.2410095889772</v>
      </c>
      <c r="I28" s="4">
        <f>IF($B$2-SUM($G$3:G28)&lt; 0.001,0,$B$2-SUM($G$3:G28))</f>
        <v>973049.47626794921</v>
      </c>
      <c r="J28" s="5">
        <f t="shared" si="3"/>
        <v>7527.4884259259252</v>
      </c>
      <c r="K28" s="5">
        <f t="shared" si="4"/>
        <v>2777.7777777777778</v>
      </c>
      <c r="L28" s="5">
        <f t="shared" si="5"/>
        <v>4749.7106481481478</v>
      </c>
      <c r="M28" s="5">
        <f>IF(E28&lt;=$B$3,$B$2-SUM($K$3:K28),0)</f>
        <v>927777.77777777775</v>
      </c>
      <c r="N28" s="2">
        <v>4.9000000000000004</v>
      </c>
      <c r="O28" s="1">
        <f t="shared" si="6"/>
        <v>6.125</v>
      </c>
      <c r="P28" s="1">
        <f t="shared" si="7"/>
        <v>5.1041666666666666E-3</v>
      </c>
      <c r="Q28" s="1">
        <f t="shared" si="8"/>
        <v>6.2515313091616163</v>
      </c>
    </row>
    <row r="29" spans="5:17" x14ac:dyDescent="0.2">
      <c r="E29" s="1">
        <v>27</v>
      </c>
      <c r="F29" s="4">
        <f t="shared" si="0"/>
        <v>6076.105395806896</v>
      </c>
      <c r="G29" s="4">
        <f t="shared" si="1"/>
        <v>1109.4986940225733</v>
      </c>
      <c r="H29" s="4">
        <f t="shared" si="2"/>
        <v>4966.6067017843225</v>
      </c>
      <c r="I29" s="4">
        <f>IF($B$2-SUM($G$3:G29)&lt; 0.001,0,$B$2-SUM($G$3:G29))</f>
        <v>971939.97757392668</v>
      </c>
      <c r="J29" s="5">
        <f t="shared" si="3"/>
        <v>7513.3101851851843</v>
      </c>
      <c r="K29" s="5">
        <f t="shared" si="4"/>
        <v>2777.7777777777778</v>
      </c>
      <c r="L29" s="5">
        <f t="shared" si="5"/>
        <v>4735.5324074074069</v>
      </c>
      <c r="M29" s="5">
        <f>IF(E29&lt;=$B$3,$B$2-SUM($K$3:K29),0)</f>
        <v>925000</v>
      </c>
      <c r="N29" s="2">
        <v>4.9000000000000004</v>
      </c>
      <c r="O29" s="1">
        <f t="shared" si="6"/>
        <v>6.125</v>
      </c>
      <c r="P29" s="1">
        <f t="shared" si="7"/>
        <v>5.1041666666666666E-3</v>
      </c>
      <c r="Q29" s="1">
        <f t="shared" si="8"/>
        <v>6.2515313091616163</v>
      </c>
    </row>
    <row r="30" spans="5:17" x14ac:dyDescent="0.2">
      <c r="E30" s="1">
        <v>28</v>
      </c>
      <c r="F30" s="4">
        <f t="shared" si="0"/>
        <v>6076.105395806896</v>
      </c>
      <c r="G30" s="4">
        <f t="shared" si="1"/>
        <v>1115.161760273314</v>
      </c>
      <c r="H30" s="4">
        <f t="shared" si="2"/>
        <v>4960.9436355335829</v>
      </c>
      <c r="I30" s="4">
        <f>IF($B$2-SUM($G$3:G30)&lt; 0.001,0,$B$2-SUM($G$3:G30))</f>
        <v>970824.81581365329</v>
      </c>
      <c r="J30" s="5">
        <f t="shared" si="3"/>
        <v>7499.1319444444453</v>
      </c>
      <c r="K30" s="5">
        <f t="shared" si="4"/>
        <v>2777.7777777777778</v>
      </c>
      <c r="L30" s="5">
        <f t="shared" si="5"/>
        <v>4721.3541666666661</v>
      </c>
      <c r="M30" s="5">
        <f>IF(E30&lt;=$B$3,$B$2-SUM($K$3:K30),0)</f>
        <v>922222.22222222213</v>
      </c>
      <c r="N30" s="2">
        <v>4.9000000000000004</v>
      </c>
      <c r="O30" s="1">
        <f t="shared" si="6"/>
        <v>6.125</v>
      </c>
      <c r="P30" s="1">
        <f t="shared" si="7"/>
        <v>5.1041666666666666E-3</v>
      </c>
      <c r="Q30" s="1">
        <f t="shared" si="8"/>
        <v>6.2515313091616163</v>
      </c>
    </row>
    <row r="31" spans="5:17" x14ac:dyDescent="0.2">
      <c r="E31" s="1">
        <v>29</v>
      </c>
      <c r="F31" s="4">
        <f t="shared" si="0"/>
        <v>6076.105395806896</v>
      </c>
      <c r="G31" s="4">
        <f t="shared" si="1"/>
        <v>1120.8537317580422</v>
      </c>
      <c r="H31" s="4">
        <f t="shared" si="2"/>
        <v>4955.2516640488539</v>
      </c>
      <c r="I31" s="4">
        <f>IF($B$2-SUM($G$3:G31)&lt; 0.001,0,$B$2-SUM($G$3:G31))</f>
        <v>969703.96208189521</v>
      </c>
      <c r="J31" s="5">
        <f t="shared" si="3"/>
        <v>7484.9537037037044</v>
      </c>
      <c r="K31" s="5">
        <f t="shared" si="4"/>
        <v>2777.7777777777778</v>
      </c>
      <c r="L31" s="5">
        <f t="shared" si="5"/>
        <v>4707.1759259259252</v>
      </c>
      <c r="M31" s="5">
        <f>IF(E31&lt;=$B$3,$B$2-SUM($K$3:K31),0)</f>
        <v>919444.44444444438</v>
      </c>
      <c r="N31" s="2">
        <v>4.9000000000000004</v>
      </c>
      <c r="O31" s="1">
        <f t="shared" si="6"/>
        <v>6.125</v>
      </c>
      <c r="P31" s="1">
        <f t="shared" si="7"/>
        <v>5.1041666666666666E-3</v>
      </c>
      <c r="Q31" s="1">
        <f t="shared" si="8"/>
        <v>6.2515313091616163</v>
      </c>
    </row>
    <row r="32" spans="5:17" x14ac:dyDescent="0.2">
      <c r="E32" s="1">
        <v>30</v>
      </c>
      <c r="F32" s="4">
        <f t="shared" si="0"/>
        <v>6076.105395806896</v>
      </c>
      <c r="G32" s="4">
        <f t="shared" si="1"/>
        <v>1126.5747560138907</v>
      </c>
      <c r="H32" s="4">
        <f t="shared" si="2"/>
        <v>4949.5306397930062</v>
      </c>
      <c r="I32" s="4">
        <f>IF($B$2-SUM($G$3:G32)&lt; 0.001,0,$B$2-SUM($G$3:G32))</f>
        <v>968577.3873258814</v>
      </c>
      <c r="J32" s="5">
        <f t="shared" si="3"/>
        <v>7470.7754629629635</v>
      </c>
      <c r="K32" s="5">
        <f t="shared" si="4"/>
        <v>2777.7777777777778</v>
      </c>
      <c r="L32" s="5">
        <f t="shared" si="5"/>
        <v>4692.9976851851852</v>
      </c>
      <c r="M32" s="5">
        <f>IF(E32&lt;=$B$3,$B$2-SUM($K$3:K32),0)</f>
        <v>916666.66666666663</v>
      </c>
      <c r="N32" s="2">
        <v>4.9000000000000004</v>
      </c>
      <c r="O32" s="1">
        <f t="shared" si="6"/>
        <v>6.125</v>
      </c>
      <c r="P32" s="1">
        <f t="shared" si="7"/>
        <v>5.1041666666666666E-3</v>
      </c>
      <c r="Q32" s="1">
        <f t="shared" si="8"/>
        <v>6.2515313091616163</v>
      </c>
    </row>
    <row r="33" spans="5:17" x14ac:dyDescent="0.2">
      <c r="E33" s="1">
        <v>31</v>
      </c>
      <c r="F33" s="4">
        <f t="shared" si="0"/>
        <v>6076.105395806896</v>
      </c>
      <c r="G33" s="4">
        <f t="shared" si="1"/>
        <v>1132.3249813310451</v>
      </c>
      <c r="H33" s="4">
        <f t="shared" si="2"/>
        <v>4943.7804144758511</v>
      </c>
      <c r="I33" s="4">
        <f>IF($B$2-SUM($G$3:G33)&lt; 0.001,0,$B$2-SUM($G$3:G33))</f>
        <v>967445.06234455039</v>
      </c>
      <c r="J33" s="5">
        <f t="shared" si="3"/>
        <v>7456.5972222222226</v>
      </c>
      <c r="K33" s="5">
        <f t="shared" si="4"/>
        <v>2777.7777777777778</v>
      </c>
      <c r="L33" s="5">
        <f t="shared" si="5"/>
        <v>4678.8194444444443</v>
      </c>
      <c r="M33" s="5">
        <f>IF(E33&lt;=$B$3,$B$2-SUM($K$3:K33),0)</f>
        <v>913888.88888888888</v>
      </c>
      <c r="N33" s="2">
        <v>4.9000000000000004</v>
      </c>
      <c r="O33" s="1">
        <f t="shared" si="6"/>
        <v>6.125</v>
      </c>
      <c r="P33" s="1">
        <f t="shared" si="7"/>
        <v>5.1041666666666666E-3</v>
      </c>
      <c r="Q33" s="1">
        <f t="shared" si="8"/>
        <v>6.2515313091616163</v>
      </c>
    </row>
    <row r="34" spans="5:17" x14ac:dyDescent="0.2">
      <c r="E34" s="1">
        <v>32</v>
      </c>
      <c r="F34" s="4">
        <f t="shared" si="0"/>
        <v>6076.105395806896</v>
      </c>
      <c r="G34" s="4">
        <f t="shared" si="1"/>
        <v>1138.1045567565891</v>
      </c>
      <c r="H34" s="4">
        <f t="shared" si="2"/>
        <v>4938.0008390503081</v>
      </c>
      <c r="I34" s="4">
        <f>IF($B$2-SUM($G$3:G34)&lt; 0.001,0,$B$2-SUM($G$3:G34))</f>
        <v>966306.95778779371</v>
      </c>
      <c r="J34" s="5">
        <f t="shared" si="3"/>
        <v>7442.4189814814818</v>
      </c>
      <c r="K34" s="5">
        <f t="shared" si="4"/>
        <v>2777.7777777777778</v>
      </c>
      <c r="L34" s="5">
        <f t="shared" si="5"/>
        <v>4664.6412037037026</v>
      </c>
      <c r="M34" s="5">
        <f>IF(E34&lt;=$B$3,$B$2-SUM($K$3:K34),0)</f>
        <v>911111.11111111101</v>
      </c>
      <c r="N34" s="2">
        <v>4.9000000000000004</v>
      </c>
      <c r="O34" s="1">
        <f t="shared" si="6"/>
        <v>6.125</v>
      </c>
      <c r="P34" s="1">
        <f t="shared" si="7"/>
        <v>5.1041666666666666E-3</v>
      </c>
      <c r="Q34" s="1">
        <f t="shared" si="8"/>
        <v>6.2515313091616163</v>
      </c>
    </row>
    <row r="35" spans="5:17" x14ac:dyDescent="0.2">
      <c r="E35" s="1">
        <v>33</v>
      </c>
      <c r="F35" s="4">
        <f t="shared" si="0"/>
        <v>6076.105395806896</v>
      </c>
      <c r="G35" s="4">
        <f t="shared" si="1"/>
        <v>1143.9136320983673</v>
      </c>
      <c r="H35" s="4">
        <f t="shared" si="2"/>
        <v>4932.1917637085289</v>
      </c>
      <c r="I35" s="4">
        <f>IF($B$2-SUM($G$3:G35)&lt; 0.001,0,$B$2-SUM($G$3:G35))</f>
        <v>965163.04415569536</v>
      </c>
      <c r="J35" s="5">
        <f t="shared" si="3"/>
        <v>7428.2407407407409</v>
      </c>
      <c r="K35" s="5">
        <f t="shared" si="4"/>
        <v>2777.7777777777778</v>
      </c>
      <c r="L35" s="5">
        <f t="shared" si="5"/>
        <v>4650.4629629629626</v>
      </c>
      <c r="M35" s="5">
        <f>IF(E35&lt;=$B$3,$B$2-SUM($K$3:K35),0)</f>
        <v>908333.33333333326</v>
      </c>
      <c r="N35" s="2">
        <v>4.9000000000000004</v>
      </c>
      <c r="O35" s="1">
        <f t="shared" si="6"/>
        <v>6.125</v>
      </c>
      <c r="P35" s="1">
        <f t="shared" si="7"/>
        <v>5.1041666666666666E-3</v>
      </c>
      <c r="Q35" s="1">
        <f t="shared" si="8"/>
        <v>6.2515313091616163</v>
      </c>
    </row>
    <row r="36" spans="5:17" x14ac:dyDescent="0.2">
      <c r="E36" s="1">
        <v>34</v>
      </c>
      <c r="F36" s="4">
        <f t="shared" si="0"/>
        <v>6076.105395806896</v>
      </c>
      <c r="G36" s="4">
        <f t="shared" si="1"/>
        <v>1149.7523579288695</v>
      </c>
      <c r="H36" s="4">
        <f t="shared" si="2"/>
        <v>4926.353037878027</v>
      </c>
      <c r="I36" s="4">
        <f>IF($B$2-SUM($G$3:G36)&lt; 0.001,0,$B$2-SUM($G$3:G36))</f>
        <v>964013.29179776646</v>
      </c>
      <c r="J36" s="5">
        <f t="shared" si="3"/>
        <v>7414.0625</v>
      </c>
      <c r="K36" s="5">
        <f t="shared" si="4"/>
        <v>2777.7777777777778</v>
      </c>
      <c r="L36" s="5">
        <f t="shared" si="5"/>
        <v>4636.2847222222217</v>
      </c>
      <c r="M36" s="5">
        <f>IF(E36&lt;=$B$3,$B$2-SUM($K$3:K36),0)</f>
        <v>905555.5555555555</v>
      </c>
      <c r="N36" s="2">
        <v>4.9000000000000004</v>
      </c>
      <c r="O36" s="1">
        <f t="shared" si="6"/>
        <v>6.125</v>
      </c>
      <c r="P36" s="1">
        <f t="shared" si="7"/>
        <v>5.1041666666666666E-3</v>
      </c>
      <c r="Q36" s="1">
        <f t="shared" si="8"/>
        <v>6.2515313091616163</v>
      </c>
    </row>
    <row r="37" spans="5:17" x14ac:dyDescent="0.2">
      <c r="E37" s="1">
        <v>35</v>
      </c>
      <c r="F37" s="4">
        <f t="shared" si="0"/>
        <v>6076.105395806896</v>
      </c>
      <c r="G37" s="4">
        <f t="shared" si="1"/>
        <v>1155.6208855891316</v>
      </c>
      <c r="H37" s="4">
        <f t="shared" si="2"/>
        <v>4920.4845102177651</v>
      </c>
      <c r="I37" s="4">
        <f>IF($B$2-SUM($G$3:G37)&lt; 0.001,0,$B$2-SUM($G$3:G37))</f>
        <v>962857.67091217742</v>
      </c>
      <c r="J37" s="5">
        <f t="shared" si="3"/>
        <v>7399.8842592592591</v>
      </c>
      <c r="K37" s="5">
        <f t="shared" si="4"/>
        <v>2777.7777777777778</v>
      </c>
      <c r="L37" s="5">
        <f t="shared" si="5"/>
        <v>4622.1064814814808</v>
      </c>
      <c r="M37" s="5">
        <f>IF(E37&lt;=$B$3,$B$2-SUM($K$3:K37),0)</f>
        <v>902777.77777777775</v>
      </c>
      <c r="N37" s="2">
        <v>4.9000000000000004</v>
      </c>
      <c r="O37" s="1">
        <f t="shared" si="6"/>
        <v>6.125</v>
      </c>
      <c r="P37" s="1">
        <f t="shared" si="7"/>
        <v>5.1041666666666666E-3</v>
      </c>
      <c r="Q37" s="1">
        <f t="shared" si="8"/>
        <v>6.2515313091616163</v>
      </c>
    </row>
    <row r="38" spans="5:17" x14ac:dyDescent="0.2">
      <c r="E38" s="1">
        <v>36</v>
      </c>
      <c r="F38" s="4">
        <f t="shared" si="0"/>
        <v>6076.105395806896</v>
      </c>
      <c r="G38" s="4">
        <f t="shared" si="1"/>
        <v>1161.5193671926595</v>
      </c>
      <c r="H38" s="4">
        <f t="shared" si="2"/>
        <v>4914.586028614237</v>
      </c>
      <c r="I38" s="4">
        <f>IF($B$2-SUM($G$3:G38)&lt; 0.001,0,$B$2-SUM($G$3:G38))</f>
        <v>961696.15154498466</v>
      </c>
      <c r="J38" s="5">
        <f t="shared" si="3"/>
        <v>7385.7060185185182</v>
      </c>
      <c r="K38" s="5">
        <f t="shared" si="4"/>
        <v>2777.7777777777778</v>
      </c>
      <c r="L38" s="5">
        <f t="shared" si="5"/>
        <v>4607.92824074074</v>
      </c>
      <c r="M38" s="5">
        <f>IF(E38&lt;=$B$3,$B$2-SUM($K$3:K38),0)</f>
        <v>899999.99999999988</v>
      </c>
      <c r="N38" s="2">
        <v>4.9000000000000004</v>
      </c>
      <c r="O38" s="1">
        <f t="shared" si="6"/>
        <v>6.125</v>
      </c>
      <c r="P38" s="1">
        <f t="shared" si="7"/>
        <v>5.1041666666666666E-3</v>
      </c>
      <c r="Q38" s="1">
        <f t="shared" si="8"/>
        <v>6.2515313091616163</v>
      </c>
    </row>
    <row r="39" spans="5:17" x14ac:dyDescent="0.2">
      <c r="E39" s="1">
        <v>37</v>
      </c>
      <c r="F39" s="4">
        <f t="shared" si="0"/>
        <v>6076.105395806896</v>
      </c>
      <c r="G39" s="4">
        <f t="shared" si="1"/>
        <v>1167.447955629372</v>
      </c>
      <c r="H39" s="4">
        <f t="shared" si="2"/>
        <v>4908.6574401775251</v>
      </c>
      <c r="I39" s="4">
        <f>IF($B$2-SUM($G$3:G39)&lt; 0.001,0,$B$2-SUM($G$3:G39))</f>
        <v>960528.70358935534</v>
      </c>
      <c r="J39" s="5">
        <f t="shared" si="3"/>
        <v>7371.5277777777774</v>
      </c>
      <c r="K39" s="5">
        <f t="shared" si="4"/>
        <v>2777.7777777777778</v>
      </c>
      <c r="L39" s="5">
        <f t="shared" si="5"/>
        <v>4593.7499999999991</v>
      </c>
      <c r="M39" s="5">
        <f>IF(E39&lt;=$B$3,$B$2-SUM($K$3:K39),0)</f>
        <v>897222.22222222213</v>
      </c>
      <c r="N39" s="2">
        <v>4.9000000000000004</v>
      </c>
      <c r="O39" s="1">
        <f t="shared" si="6"/>
        <v>6.125</v>
      </c>
      <c r="P39" s="1">
        <f t="shared" si="7"/>
        <v>5.1041666666666666E-3</v>
      </c>
      <c r="Q39" s="1">
        <f t="shared" si="8"/>
        <v>6.2515313091616163</v>
      </c>
    </row>
    <row r="40" spans="5:17" x14ac:dyDescent="0.2">
      <c r="E40" s="1">
        <v>38</v>
      </c>
      <c r="F40" s="4">
        <f t="shared" si="0"/>
        <v>6076.105395806896</v>
      </c>
      <c r="G40" s="4">
        <f t="shared" si="1"/>
        <v>1173.4068045695635</v>
      </c>
      <c r="H40" s="4">
        <f t="shared" si="2"/>
        <v>4902.6985912373329</v>
      </c>
      <c r="I40" s="4">
        <f>IF($B$2-SUM($G$3:G40)&lt; 0.001,0,$B$2-SUM($G$3:G40))</f>
        <v>959355.29678478581</v>
      </c>
      <c r="J40" s="5">
        <f t="shared" si="3"/>
        <v>7357.3495370370365</v>
      </c>
      <c r="K40" s="5">
        <f t="shared" si="4"/>
        <v>2777.7777777777778</v>
      </c>
      <c r="L40" s="5">
        <f t="shared" si="5"/>
        <v>4579.5717592592591</v>
      </c>
      <c r="M40" s="5">
        <f>IF(E40&lt;=$B$3,$B$2-SUM($K$3:K40),0)</f>
        <v>894444.44444444438</v>
      </c>
      <c r="N40" s="2">
        <v>4.9000000000000004</v>
      </c>
      <c r="O40" s="1">
        <f t="shared" si="6"/>
        <v>6.125</v>
      </c>
      <c r="P40" s="1">
        <f t="shared" si="7"/>
        <v>5.1041666666666666E-3</v>
      </c>
      <c r="Q40" s="1">
        <f t="shared" si="8"/>
        <v>6.2515313091616163</v>
      </c>
    </row>
    <row r="41" spans="5:17" x14ac:dyDescent="0.2">
      <c r="E41" s="1">
        <v>39</v>
      </c>
      <c r="F41" s="4">
        <f t="shared" si="0"/>
        <v>6076.105395806896</v>
      </c>
      <c r="G41" s="4">
        <f t="shared" si="1"/>
        <v>1179.3960684678875</v>
      </c>
      <c r="H41" s="4">
        <f t="shared" si="2"/>
        <v>4896.7093273390092</v>
      </c>
      <c r="I41" s="4">
        <f>IF($B$2-SUM($G$3:G41)&lt; 0.001,0,$B$2-SUM($G$3:G41))</f>
        <v>958175.90071631793</v>
      </c>
      <c r="J41" s="5">
        <f t="shared" si="3"/>
        <v>7343.1712962962956</v>
      </c>
      <c r="K41" s="5">
        <f t="shared" si="4"/>
        <v>2777.7777777777778</v>
      </c>
      <c r="L41" s="5">
        <f t="shared" si="5"/>
        <v>4565.3935185185182</v>
      </c>
      <c r="M41" s="5">
        <f>IF(E41&lt;=$B$3,$B$2-SUM($K$3:K41),0)</f>
        <v>891666.66666666663</v>
      </c>
      <c r="N41" s="2">
        <v>4.9000000000000004</v>
      </c>
      <c r="O41" s="1">
        <f t="shared" si="6"/>
        <v>6.125</v>
      </c>
      <c r="P41" s="1">
        <f t="shared" si="7"/>
        <v>5.1041666666666666E-3</v>
      </c>
      <c r="Q41" s="1">
        <f t="shared" si="8"/>
        <v>6.2515313091616163</v>
      </c>
    </row>
    <row r="42" spans="5:17" x14ac:dyDescent="0.2">
      <c r="E42" s="1">
        <v>40</v>
      </c>
      <c r="F42" s="4">
        <f t="shared" si="0"/>
        <v>6076.105395806896</v>
      </c>
      <c r="G42" s="4">
        <f t="shared" si="1"/>
        <v>1185.4159025673591</v>
      </c>
      <c r="H42" s="4">
        <f t="shared" si="2"/>
        <v>4890.6894932395371</v>
      </c>
      <c r="I42" s="4">
        <f>IF($B$2-SUM($G$3:G42)&lt; 0.001,0,$B$2-SUM($G$3:G42))</f>
        <v>956990.48481375049</v>
      </c>
      <c r="J42" s="5">
        <f t="shared" si="3"/>
        <v>7328.9930555555547</v>
      </c>
      <c r="K42" s="5">
        <f t="shared" si="4"/>
        <v>2777.7777777777778</v>
      </c>
      <c r="L42" s="5">
        <f t="shared" si="5"/>
        <v>4551.2152777777765</v>
      </c>
      <c r="M42" s="5">
        <f>IF(E42&lt;=$B$3,$B$2-SUM($K$3:K42),0)</f>
        <v>888888.88888888876</v>
      </c>
      <c r="N42" s="2">
        <v>4.9000000000000004</v>
      </c>
      <c r="O42" s="1">
        <f t="shared" si="6"/>
        <v>6.125</v>
      </c>
      <c r="P42" s="1">
        <f t="shared" si="7"/>
        <v>5.1041666666666666E-3</v>
      </c>
      <c r="Q42" s="1">
        <f t="shared" si="8"/>
        <v>6.2515313091616163</v>
      </c>
    </row>
    <row r="43" spans="5:17" x14ac:dyDescent="0.2">
      <c r="E43" s="1">
        <v>41</v>
      </c>
      <c r="F43" s="4">
        <f t="shared" si="0"/>
        <v>6076.105395806896</v>
      </c>
      <c r="G43" s="4">
        <f t="shared" si="1"/>
        <v>1191.46646290338</v>
      </c>
      <c r="H43" s="4">
        <f t="shared" si="2"/>
        <v>4884.6389329035155</v>
      </c>
      <c r="I43" s="4">
        <f>IF($B$2-SUM($G$3:G43)&lt; 0.001,0,$B$2-SUM($G$3:G43))</f>
        <v>955799.01835084718</v>
      </c>
      <c r="J43" s="5">
        <f t="shared" si="3"/>
        <v>7314.8148148148139</v>
      </c>
      <c r="K43" s="5">
        <f t="shared" si="4"/>
        <v>2777.7777777777778</v>
      </c>
      <c r="L43" s="5">
        <f t="shared" si="5"/>
        <v>4537.0370370370365</v>
      </c>
      <c r="M43" s="5">
        <f>IF(E43&lt;=$B$3,$B$2-SUM($K$3:K43),0)</f>
        <v>886111.11111111101</v>
      </c>
      <c r="N43" s="2">
        <v>4.9000000000000004</v>
      </c>
      <c r="O43" s="1">
        <f t="shared" si="6"/>
        <v>6.125</v>
      </c>
      <c r="P43" s="1">
        <f t="shared" si="7"/>
        <v>5.1041666666666666E-3</v>
      </c>
      <c r="Q43" s="1">
        <f t="shared" si="8"/>
        <v>6.2515313091616163</v>
      </c>
    </row>
    <row r="44" spans="5:17" x14ac:dyDescent="0.2">
      <c r="E44" s="1">
        <v>42</v>
      </c>
      <c r="F44" s="4">
        <f t="shared" si="0"/>
        <v>6076.105395806896</v>
      </c>
      <c r="G44" s="4">
        <f t="shared" si="1"/>
        <v>1197.5479063077828</v>
      </c>
      <c r="H44" s="4">
        <f t="shared" si="2"/>
        <v>4878.5574894991141</v>
      </c>
      <c r="I44" s="4">
        <f>IF($B$2-SUM($G$3:G44)&lt; 0.001,0,$B$2-SUM($G$3:G44))</f>
        <v>954601.47044453933</v>
      </c>
      <c r="J44" s="5">
        <f t="shared" si="3"/>
        <v>7300.6365740740748</v>
      </c>
      <c r="K44" s="5">
        <f t="shared" si="4"/>
        <v>2777.7777777777778</v>
      </c>
      <c r="L44" s="5">
        <f t="shared" si="5"/>
        <v>4522.8587962962956</v>
      </c>
      <c r="M44" s="5">
        <f>IF(E44&lt;=$B$3,$B$2-SUM($K$3:K44),0)</f>
        <v>883333.33333333326</v>
      </c>
      <c r="N44" s="2">
        <v>4.9000000000000004</v>
      </c>
      <c r="O44" s="1">
        <f t="shared" si="6"/>
        <v>6.125</v>
      </c>
      <c r="P44" s="1">
        <f t="shared" si="7"/>
        <v>5.1041666666666666E-3</v>
      </c>
      <c r="Q44" s="1">
        <f t="shared" si="8"/>
        <v>6.2515313091616163</v>
      </c>
    </row>
    <row r="45" spans="5:17" x14ac:dyDescent="0.2">
      <c r="E45" s="1">
        <v>43</v>
      </c>
      <c r="F45" s="4">
        <f t="shared" si="0"/>
        <v>6076.105395806896</v>
      </c>
      <c r="G45" s="4">
        <f t="shared" si="1"/>
        <v>1203.6603904128956</v>
      </c>
      <c r="H45" s="4">
        <f t="shared" si="2"/>
        <v>4872.4450053940009</v>
      </c>
      <c r="I45" s="4">
        <f>IF($B$2-SUM($G$3:G45)&lt; 0.001,0,$B$2-SUM($G$3:G45))</f>
        <v>953397.81005412643</v>
      </c>
      <c r="J45" s="5">
        <f t="shared" si="3"/>
        <v>7286.4583333333339</v>
      </c>
      <c r="K45" s="5">
        <f t="shared" si="4"/>
        <v>2777.7777777777778</v>
      </c>
      <c r="L45" s="5">
        <f t="shared" si="5"/>
        <v>4508.6805555555547</v>
      </c>
      <c r="M45" s="5">
        <f>IF(E45&lt;=$B$3,$B$2-SUM($K$3:K45),0)</f>
        <v>880555.5555555555</v>
      </c>
      <c r="N45" s="2">
        <v>4.9000000000000004</v>
      </c>
      <c r="O45" s="1">
        <f t="shared" si="6"/>
        <v>6.125</v>
      </c>
      <c r="P45" s="1">
        <f t="shared" si="7"/>
        <v>5.1041666666666666E-3</v>
      </c>
      <c r="Q45" s="1">
        <f t="shared" si="8"/>
        <v>6.2515313091616163</v>
      </c>
    </row>
    <row r="46" spans="5:17" x14ac:dyDescent="0.2">
      <c r="E46" s="1">
        <v>44</v>
      </c>
      <c r="F46" s="4">
        <f t="shared" si="0"/>
        <v>6076.105395806896</v>
      </c>
      <c r="G46" s="4">
        <f t="shared" si="1"/>
        <v>1209.8040736556281</v>
      </c>
      <c r="H46" s="4">
        <f t="shared" si="2"/>
        <v>4866.3013221512692</v>
      </c>
      <c r="I46" s="4">
        <f>IF($B$2-SUM($G$3:G46)&lt; 0.001,0,$B$2-SUM($G$3:G46))</f>
        <v>952188.0059804708</v>
      </c>
      <c r="J46" s="5">
        <f t="shared" si="3"/>
        <v>7272.2800925925931</v>
      </c>
      <c r="K46" s="5">
        <f t="shared" si="4"/>
        <v>2777.7777777777778</v>
      </c>
      <c r="L46" s="5">
        <f t="shared" si="5"/>
        <v>4494.5023148148139</v>
      </c>
      <c r="M46" s="5">
        <f>IF(E46&lt;=$B$3,$B$2-SUM($K$3:K46),0)</f>
        <v>877777.77777777764</v>
      </c>
      <c r="N46" s="2">
        <v>4.9000000000000004</v>
      </c>
      <c r="O46" s="1">
        <f t="shared" si="6"/>
        <v>6.125</v>
      </c>
      <c r="P46" s="1">
        <f t="shared" si="7"/>
        <v>5.1041666666666666E-3</v>
      </c>
      <c r="Q46" s="1">
        <f t="shared" si="8"/>
        <v>6.2515313091616163</v>
      </c>
    </row>
    <row r="47" spans="5:17" x14ac:dyDescent="0.2">
      <c r="E47" s="1">
        <v>45</v>
      </c>
      <c r="F47" s="4">
        <f t="shared" si="0"/>
        <v>6076.105395806896</v>
      </c>
      <c r="G47" s="4">
        <f t="shared" si="1"/>
        <v>1215.9791152815785</v>
      </c>
      <c r="H47" s="4">
        <f t="shared" si="2"/>
        <v>4860.1262805253182</v>
      </c>
      <c r="I47" s="4">
        <f>IF($B$2-SUM($G$3:G47)&lt; 0.001,0,$B$2-SUM($G$3:G47))</f>
        <v>950972.02686518931</v>
      </c>
      <c r="J47" s="5">
        <f t="shared" si="3"/>
        <v>7258.1018518518522</v>
      </c>
      <c r="K47" s="5">
        <f t="shared" si="4"/>
        <v>2777.7777777777778</v>
      </c>
      <c r="L47" s="5">
        <f t="shared" si="5"/>
        <v>4480.324074074073</v>
      </c>
      <c r="M47" s="5">
        <f>IF(E47&lt;=$B$3,$B$2-SUM($K$3:K47),0)</f>
        <v>874999.99999999988</v>
      </c>
      <c r="N47" s="2">
        <v>4.9000000000000004</v>
      </c>
      <c r="O47" s="1">
        <f t="shared" si="6"/>
        <v>6.125</v>
      </c>
      <c r="P47" s="1">
        <f t="shared" si="7"/>
        <v>5.1041666666666666E-3</v>
      </c>
      <c r="Q47" s="1">
        <f t="shared" si="8"/>
        <v>6.2515313091616163</v>
      </c>
    </row>
    <row r="48" spans="5:17" x14ac:dyDescent="0.2">
      <c r="E48" s="1">
        <v>46</v>
      </c>
      <c r="F48" s="4">
        <f t="shared" si="0"/>
        <v>6076.105395806896</v>
      </c>
      <c r="G48" s="4">
        <f t="shared" si="1"/>
        <v>1222.1856753491618</v>
      </c>
      <c r="H48" s="4">
        <f t="shared" si="2"/>
        <v>4853.9197204577349</v>
      </c>
      <c r="I48" s="4">
        <f>IF($B$2-SUM($G$3:G48)&lt; 0.001,0,$B$2-SUM($G$3:G48))</f>
        <v>949749.84118984011</v>
      </c>
      <c r="J48" s="5">
        <f t="shared" si="3"/>
        <v>7243.9236111111113</v>
      </c>
      <c r="K48" s="5">
        <f t="shared" si="4"/>
        <v>2777.7777777777778</v>
      </c>
      <c r="L48" s="5">
        <f t="shared" si="5"/>
        <v>4466.145833333333</v>
      </c>
      <c r="M48" s="5">
        <f>IF(E48&lt;=$B$3,$B$2-SUM($K$3:K48),0)</f>
        <v>872222.22222222213</v>
      </c>
      <c r="N48" s="2">
        <v>4.9000000000000004</v>
      </c>
      <c r="O48" s="1">
        <f t="shared" si="6"/>
        <v>6.125</v>
      </c>
      <c r="P48" s="1">
        <f t="shared" si="7"/>
        <v>5.1041666666666666E-3</v>
      </c>
      <c r="Q48" s="1">
        <f t="shared" si="8"/>
        <v>6.2515313091616163</v>
      </c>
    </row>
    <row r="49" spans="5:17" x14ac:dyDescent="0.2">
      <c r="E49" s="1">
        <v>47</v>
      </c>
      <c r="F49" s="4">
        <f t="shared" si="0"/>
        <v>6076.105395806896</v>
      </c>
      <c r="G49" s="4">
        <f t="shared" si="1"/>
        <v>1228.4239147337566</v>
      </c>
      <c r="H49" s="4">
        <f t="shared" si="2"/>
        <v>4847.6814810731403</v>
      </c>
      <c r="I49" s="4">
        <f>IF($B$2-SUM($G$3:G49)&lt; 0.001,0,$B$2-SUM($G$3:G49))</f>
        <v>948521.4172751063</v>
      </c>
      <c r="J49" s="5">
        <f t="shared" si="3"/>
        <v>7229.7453703703704</v>
      </c>
      <c r="K49" s="5">
        <f t="shared" si="4"/>
        <v>2777.7777777777778</v>
      </c>
      <c r="L49" s="5">
        <f t="shared" si="5"/>
        <v>4451.9675925925922</v>
      </c>
      <c r="M49" s="5">
        <f>IF(E49&lt;=$B$3,$B$2-SUM($K$3:K49),0)</f>
        <v>869444.44444444438</v>
      </c>
      <c r="N49" s="2">
        <v>4.9000000000000004</v>
      </c>
      <c r="O49" s="1">
        <f t="shared" si="6"/>
        <v>6.125</v>
      </c>
      <c r="P49" s="1">
        <f t="shared" si="7"/>
        <v>5.1041666666666666E-3</v>
      </c>
      <c r="Q49" s="1">
        <f t="shared" si="8"/>
        <v>6.2515313091616163</v>
      </c>
    </row>
    <row r="50" spans="5:17" x14ac:dyDescent="0.2">
      <c r="E50" s="1">
        <v>48</v>
      </c>
      <c r="F50" s="4">
        <f t="shared" si="0"/>
        <v>6076.105395806896</v>
      </c>
      <c r="G50" s="4">
        <f t="shared" si="1"/>
        <v>1234.693995131877</v>
      </c>
      <c r="H50" s="4">
        <f t="shared" si="2"/>
        <v>4841.4114006750196</v>
      </c>
      <c r="I50" s="4">
        <f>IF($B$2-SUM($G$3:G50)&lt; 0.001,0,$B$2-SUM($G$3:G50))</f>
        <v>947286.72327997442</v>
      </c>
      <c r="J50" s="5">
        <f t="shared" si="3"/>
        <v>7215.5671296296296</v>
      </c>
      <c r="K50" s="5">
        <f t="shared" si="4"/>
        <v>2777.7777777777778</v>
      </c>
      <c r="L50" s="5">
        <f t="shared" si="5"/>
        <v>4437.7893518518513</v>
      </c>
      <c r="M50" s="5">
        <f>IF(E50&lt;=$B$3,$B$2-SUM($K$3:K50),0)</f>
        <v>866666.66666666651</v>
      </c>
      <c r="N50" s="2">
        <v>4.9000000000000004</v>
      </c>
      <c r="O50" s="1">
        <f t="shared" si="6"/>
        <v>6.125</v>
      </c>
      <c r="P50" s="1">
        <f t="shared" si="7"/>
        <v>5.1041666666666666E-3</v>
      </c>
      <c r="Q50" s="1">
        <f t="shared" si="8"/>
        <v>6.2515313091616163</v>
      </c>
    </row>
    <row r="51" spans="5:17" x14ac:dyDescent="0.2">
      <c r="E51" s="1">
        <v>49</v>
      </c>
      <c r="F51" s="4">
        <f t="shared" si="0"/>
        <v>6076.105395806896</v>
      </c>
      <c r="G51" s="4">
        <f t="shared" si="1"/>
        <v>1240.9960790653624</v>
      </c>
      <c r="H51" s="4">
        <f t="shared" si="2"/>
        <v>4835.1093167415338</v>
      </c>
      <c r="I51" s="4">
        <f>IF($B$2-SUM($G$3:G51)&lt; 0.001,0,$B$2-SUM($G$3:G51))</f>
        <v>946045.72720090905</v>
      </c>
      <c r="J51" s="5">
        <f t="shared" si="3"/>
        <v>7201.3888888888887</v>
      </c>
      <c r="K51" s="5">
        <f t="shared" si="4"/>
        <v>2777.7777777777778</v>
      </c>
      <c r="L51" s="5">
        <f t="shared" si="5"/>
        <v>4423.6111111111104</v>
      </c>
      <c r="M51" s="5">
        <f>IF(E51&lt;=$B$3,$B$2-SUM($K$3:K51),0)</f>
        <v>863888.88888888876</v>
      </c>
      <c r="N51" s="2">
        <v>4.9000000000000004</v>
      </c>
      <c r="O51" s="1">
        <f t="shared" si="6"/>
        <v>6.125</v>
      </c>
      <c r="P51" s="1">
        <f t="shared" si="7"/>
        <v>5.1041666666666666E-3</v>
      </c>
      <c r="Q51" s="1">
        <f t="shared" si="8"/>
        <v>6.2515313091616163</v>
      </c>
    </row>
    <row r="52" spans="5:17" x14ac:dyDescent="0.2">
      <c r="E52" s="1">
        <v>50</v>
      </c>
      <c r="F52" s="4">
        <f t="shared" si="0"/>
        <v>6076.105395806896</v>
      </c>
      <c r="G52" s="4">
        <f t="shared" si="1"/>
        <v>1247.3303298855919</v>
      </c>
      <c r="H52" s="4">
        <f t="shared" si="2"/>
        <v>4828.7750659213043</v>
      </c>
      <c r="I52" s="4">
        <f>IF($B$2-SUM($G$3:G52)&lt; 0.001,0,$B$2-SUM($G$3:G52))</f>
        <v>944798.39687102358</v>
      </c>
      <c r="J52" s="5">
        <f t="shared" si="3"/>
        <v>7187.2106481481478</v>
      </c>
      <c r="K52" s="5">
        <f t="shared" si="4"/>
        <v>2777.7777777777778</v>
      </c>
      <c r="L52" s="5">
        <f t="shared" si="5"/>
        <v>4409.4328703703695</v>
      </c>
      <c r="M52" s="5">
        <f>IF(E52&lt;=$B$3,$B$2-SUM($K$3:K52),0)</f>
        <v>861111.11111111101</v>
      </c>
      <c r="N52" s="2">
        <v>4.9000000000000004</v>
      </c>
      <c r="O52" s="1">
        <f t="shared" si="6"/>
        <v>6.125</v>
      </c>
      <c r="P52" s="1">
        <f t="shared" si="7"/>
        <v>5.1041666666666666E-3</v>
      </c>
      <c r="Q52" s="1">
        <f t="shared" si="8"/>
        <v>6.2515313091616163</v>
      </c>
    </row>
    <row r="53" spans="5:17" x14ac:dyDescent="0.2">
      <c r="E53" s="1">
        <v>51</v>
      </c>
      <c r="F53" s="4">
        <f t="shared" si="0"/>
        <v>6076.105395806896</v>
      </c>
      <c r="G53" s="4">
        <f t="shared" si="1"/>
        <v>1253.6969117777164</v>
      </c>
      <c r="H53" s="4">
        <f t="shared" si="2"/>
        <v>4822.4084840291798</v>
      </c>
      <c r="I53" s="4">
        <f>IF($B$2-SUM($G$3:G53)&lt; 0.001,0,$B$2-SUM($G$3:G53))</f>
        <v>943544.69995924574</v>
      </c>
      <c r="J53" s="5">
        <f t="shared" si="3"/>
        <v>7173.0324074074069</v>
      </c>
      <c r="K53" s="5">
        <f t="shared" si="4"/>
        <v>2777.7777777777778</v>
      </c>
      <c r="L53" s="5">
        <f t="shared" si="5"/>
        <v>4395.2546296296287</v>
      </c>
      <c r="M53" s="5">
        <f>IF(E53&lt;=$B$3,$B$2-SUM($K$3:K53),0)</f>
        <v>858333.33333333326</v>
      </c>
      <c r="N53" s="2">
        <v>4.9000000000000004</v>
      </c>
      <c r="O53" s="1">
        <f t="shared" si="6"/>
        <v>6.125</v>
      </c>
      <c r="P53" s="1">
        <f t="shared" si="7"/>
        <v>5.1041666666666666E-3</v>
      </c>
      <c r="Q53" s="1">
        <f t="shared" si="8"/>
        <v>6.2515313091616163</v>
      </c>
    </row>
    <row r="54" spans="5:17" x14ac:dyDescent="0.2">
      <c r="E54" s="1">
        <v>52</v>
      </c>
      <c r="F54" s="4">
        <f t="shared" si="0"/>
        <v>6076.105395806896</v>
      </c>
      <c r="G54" s="4">
        <f t="shared" si="1"/>
        <v>1260.0959897649154</v>
      </c>
      <c r="H54" s="4">
        <f t="shared" si="2"/>
        <v>4816.0094060419815</v>
      </c>
      <c r="I54" s="4">
        <f>IF($B$2-SUM($G$3:G54)&lt; 0.001,0,$B$2-SUM($G$3:G54))</f>
        <v>942284.60396948084</v>
      </c>
      <c r="J54" s="5">
        <f t="shared" si="3"/>
        <v>7158.8541666666661</v>
      </c>
      <c r="K54" s="5">
        <f t="shared" si="4"/>
        <v>2777.7777777777778</v>
      </c>
      <c r="L54" s="5">
        <f t="shared" si="5"/>
        <v>4381.0763888888887</v>
      </c>
      <c r="M54" s="5">
        <f>IF(E54&lt;=$B$3,$B$2-SUM($K$3:K54),0)</f>
        <v>855555.5555555555</v>
      </c>
      <c r="N54" s="2">
        <v>4.9000000000000004</v>
      </c>
      <c r="O54" s="1">
        <f t="shared" si="6"/>
        <v>6.125</v>
      </c>
      <c r="P54" s="1">
        <f t="shared" si="7"/>
        <v>5.1041666666666666E-3</v>
      </c>
      <c r="Q54" s="1">
        <f t="shared" si="8"/>
        <v>6.2515313091616163</v>
      </c>
    </row>
    <row r="55" spans="5:17" x14ac:dyDescent="0.2">
      <c r="E55" s="1">
        <v>53</v>
      </c>
      <c r="F55" s="4">
        <f t="shared" si="0"/>
        <v>6076.105395806896</v>
      </c>
      <c r="G55" s="4">
        <f t="shared" si="1"/>
        <v>1266.5277297126738</v>
      </c>
      <c r="H55" s="4">
        <f t="shared" si="2"/>
        <v>4809.5776660942229</v>
      </c>
      <c r="I55" s="4">
        <f>IF($B$2-SUM($G$3:G55)&lt; 0.001,0,$B$2-SUM($G$3:G55))</f>
        <v>941018.07623976818</v>
      </c>
      <c r="J55" s="5">
        <f t="shared" si="3"/>
        <v>7144.6759259259252</v>
      </c>
      <c r="K55" s="5">
        <f t="shared" si="4"/>
        <v>2777.7777777777778</v>
      </c>
      <c r="L55" s="5">
        <f t="shared" si="5"/>
        <v>4366.8981481481469</v>
      </c>
      <c r="M55" s="5">
        <f>IF(E55&lt;=$B$3,$B$2-SUM($K$3:K55),0)</f>
        <v>852777.77777777764</v>
      </c>
      <c r="N55" s="2">
        <v>4.9000000000000004</v>
      </c>
      <c r="O55" s="1">
        <f t="shared" si="6"/>
        <v>6.125</v>
      </c>
      <c r="P55" s="1">
        <f t="shared" si="7"/>
        <v>5.1041666666666666E-3</v>
      </c>
      <c r="Q55" s="1">
        <f t="shared" si="8"/>
        <v>6.2515313091616163</v>
      </c>
    </row>
    <row r="56" spans="5:17" x14ac:dyDescent="0.2">
      <c r="E56" s="1">
        <v>54</v>
      </c>
      <c r="F56" s="4">
        <f t="shared" si="0"/>
        <v>6076.105395806896</v>
      </c>
      <c r="G56" s="4">
        <f t="shared" si="1"/>
        <v>1272.9922983330825</v>
      </c>
      <c r="H56" s="4">
        <f t="shared" si="2"/>
        <v>4803.1130974738144</v>
      </c>
      <c r="I56" s="4">
        <f>IF($B$2-SUM($G$3:G56)&lt; 0.001,0,$B$2-SUM($G$3:G56))</f>
        <v>939745.08394143509</v>
      </c>
      <c r="J56" s="5">
        <f t="shared" si="3"/>
        <v>7130.4976851851843</v>
      </c>
      <c r="K56" s="5">
        <f t="shared" si="4"/>
        <v>2777.7777777777778</v>
      </c>
      <c r="L56" s="5">
        <f t="shared" si="5"/>
        <v>4352.7199074074069</v>
      </c>
      <c r="M56" s="5">
        <f>IF(E56&lt;=$B$3,$B$2-SUM($K$3:K56),0)</f>
        <v>849999.99999999988</v>
      </c>
      <c r="N56" s="2">
        <v>4.9000000000000004</v>
      </c>
      <c r="O56" s="1">
        <f t="shared" si="6"/>
        <v>6.125</v>
      </c>
      <c r="P56" s="1">
        <f t="shared" si="7"/>
        <v>5.1041666666666666E-3</v>
      </c>
      <c r="Q56" s="1">
        <f t="shared" si="8"/>
        <v>6.2515313091616163</v>
      </c>
    </row>
    <row r="57" spans="5:17" x14ac:dyDescent="0.2">
      <c r="E57" s="1">
        <v>55</v>
      </c>
      <c r="F57" s="4">
        <f t="shared" si="0"/>
        <v>6076.105395806896</v>
      </c>
      <c r="G57" s="4">
        <f t="shared" si="1"/>
        <v>1279.4898631891576</v>
      </c>
      <c r="H57" s="4">
        <f t="shared" si="2"/>
        <v>4796.6155326177386</v>
      </c>
      <c r="I57" s="4">
        <f>IF($B$2-SUM($G$3:G57)&lt; 0.001,0,$B$2-SUM($G$3:G57))</f>
        <v>938465.59407824592</v>
      </c>
      <c r="J57" s="5">
        <f t="shared" si="3"/>
        <v>7116.3194444444453</v>
      </c>
      <c r="K57" s="5">
        <f t="shared" si="4"/>
        <v>2777.7777777777778</v>
      </c>
      <c r="L57" s="5">
        <f t="shared" si="5"/>
        <v>4338.5416666666661</v>
      </c>
      <c r="M57" s="5">
        <f>IF(E57&lt;=$B$3,$B$2-SUM($K$3:K57),0)</f>
        <v>847222.22222222213</v>
      </c>
      <c r="N57" s="2">
        <v>4.9000000000000004</v>
      </c>
      <c r="O57" s="1">
        <f t="shared" si="6"/>
        <v>6.125</v>
      </c>
      <c r="P57" s="1">
        <f t="shared" si="7"/>
        <v>5.1041666666666666E-3</v>
      </c>
      <c r="Q57" s="1">
        <f t="shared" si="8"/>
        <v>6.2515313091616163</v>
      </c>
    </row>
    <row r="58" spans="5:17" x14ac:dyDescent="0.2">
      <c r="E58" s="1">
        <v>56</v>
      </c>
      <c r="F58" s="4">
        <f t="shared" si="0"/>
        <v>6076.105395806896</v>
      </c>
      <c r="G58" s="4">
        <f t="shared" si="1"/>
        <v>1286.0205926991857</v>
      </c>
      <c r="H58" s="4">
        <f t="shared" si="2"/>
        <v>4790.0848031077103</v>
      </c>
      <c r="I58" s="4">
        <f>IF($B$2-SUM($G$3:G58)&lt; 0.001,0,$B$2-SUM($G$3:G58))</f>
        <v>937179.57348554675</v>
      </c>
      <c r="J58" s="5">
        <f t="shared" si="3"/>
        <v>7102.1412037037044</v>
      </c>
      <c r="K58" s="5">
        <f t="shared" si="4"/>
        <v>2777.7777777777778</v>
      </c>
      <c r="L58" s="5">
        <f t="shared" si="5"/>
        <v>4324.3634259259252</v>
      </c>
      <c r="M58" s="5">
        <f>IF(E58&lt;=$B$3,$B$2-SUM($K$3:K58),0)</f>
        <v>844444.44444444426</v>
      </c>
      <c r="N58" s="2">
        <v>4.9000000000000004</v>
      </c>
      <c r="O58" s="1">
        <f t="shared" si="6"/>
        <v>6.125</v>
      </c>
      <c r="P58" s="1">
        <f t="shared" si="7"/>
        <v>5.1041666666666666E-3</v>
      </c>
      <c r="Q58" s="1">
        <f t="shared" si="8"/>
        <v>6.2515313091616163</v>
      </c>
    </row>
    <row r="59" spans="5:17" x14ac:dyDescent="0.2">
      <c r="E59" s="1">
        <v>57</v>
      </c>
      <c r="F59" s="4">
        <f t="shared" si="0"/>
        <v>6076.105395806896</v>
      </c>
      <c r="G59" s="4">
        <f t="shared" si="1"/>
        <v>1292.5846561410876</v>
      </c>
      <c r="H59" s="4">
        <f t="shared" si="2"/>
        <v>4783.5207396658088</v>
      </c>
      <c r="I59" s="4">
        <f>IF($B$2-SUM($G$3:G59)&lt; 0.001,0,$B$2-SUM($G$3:G59))</f>
        <v>935886.98882940575</v>
      </c>
      <c r="J59" s="5">
        <f t="shared" si="3"/>
        <v>7087.9629629629635</v>
      </c>
      <c r="K59" s="5">
        <f t="shared" si="4"/>
        <v>2777.7777777777778</v>
      </c>
      <c r="L59" s="5">
        <f t="shared" si="5"/>
        <v>4310.1851851851843</v>
      </c>
      <c r="M59" s="5">
        <f>IF(E59&lt;=$B$3,$B$2-SUM($K$3:K59),0)</f>
        <v>841666.66666666651</v>
      </c>
      <c r="N59" s="2">
        <v>4.9000000000000004</v>
      </c>
      <c r="O59" s="1">
        <f t="shared" si="6"/>
        <v>6.125</v>
      </c>
      <c r="P59" s="1">
        <f t="shared" si="7"/>
        <v>5.1041666666666666E-3</v>
      </c>
      <c r="Q59" s="1">
        <f t="shared" si="8"/>
        <v>6.2515313091616163</v>
      </c>
    </row>
    <row r="60" spans="5:17" x14ac:dyDescent="0.2">
      <c r="E60" s="1">
        <v>58</v>
      </c>
      <c r="F60" s="4">
        <f t="shared" si="0"/>
        <v>6076.105395806896</v>
      </c>
      <c r="G60" s="4">
        <f t="shared" si="1"/>
        <v>1299.182223656808</v>
      </c>
      <c r="H60" s="4">
        <f t="shared" si="2"/>
        <v>4776.9231721500882</v>
      </c>
      <c r="I60" s="4">
        <f>IF($B$2-SUM($G$3:G60)&lt; 0.001,0,$B$2-SUM($G$3:G60))</f>
        <v>934587.80660574883</v>
      </c>
      <c r="J60" s="5">
        <f t="shared" si="3"/>
        <v>7073.7847222222226</v>
      </c>
      <c r="K60" s="5">
        <f t="shared" si="4"/>
        <v>2777.7777777777778</v>
      </c>
      <c r="L60" s="5">
        <f t="shared" si="5"/>
        <v>4296.0069444444434</v>
      </c>
      <c r="M60" s="5">
        <f>IF(E60&lt;=$B$3,$B$2-SUM($K$3:K60),0)</f>
        <v>838888.88888888876</v>
      </c>
      <c r="N60" s="2">
        <v>4.9000000000000004</v>
      </c>
      <c r="O60" s="1">
        <f t="shared" si="6"/>
        <v>6.125</v>
      </c>
      <c r="P60" s="1">
        <f t="shared" si="7"/>
        <v>5.1041666666666666E-3</v>
      </c>
      <c r="Q60" s="1">
        <f t="shared" si="8"/>
        <v>6.2515313091616163</v>
      </c>
    </row>
    <row r="61" spans="5:17" x14ac:dyDescent="0.2">
      <c r="E61" s="1">
        <v>59</v>
      </c>
      <c r="F61" s="4">
        <f t="shared" si="0"/>
        <v>6076.105395806896</v>
      </c>
      <c r="G61" s="4">
        <f t="shared" si="1"/>
        <v>1305.8134662567229</v>
      </c>
      <c r="H61" s="4">
        <f t="shared" si="2"/>
        <v>4770.2919295501733</v>
      </c>
      <c r="I61" s="4">
        <f>IF($B$2-SUM($G$3:G61)&lt; 0.001,0,$B$2-SUM($G$3:G61))</f>
        <v>933281.99313949212</v>
      </c>
      <c r="J61" s="5">
        <f t="shared" si="3"/>
        <v>7059.6064814814818</v>
      </c>
      <c r="K61" s="5">
        <f t="shared" si="4"/>
        <v>2777.7777777777778</v>
      </c>
      <c r="L61" s="5">
        <f t="shared" si="5"/>
        <v>4281.8287037037026</v>
      </c>
      <c r="M61" s="5">
        <f>IF(E61&lt;=$B$3,$B$2-SUM($K$3:K61),0)</f>
        <v>836111.11111111101</v>
      </c>
      <c r="N61" s="2">
        <v>4.9000000000000004</v>
      </c>
      <c r="O61" s="1">
        <f t="shared" si="6"/>
        <v>6.125</v>
      </c>
      <c r="P61" s="1">
        <f t="shared" si="7"/>
        <v>5.1041666666666666E-3</v>
      </c>
      <c r="Q61" s="1">
        <f t="shared" si="8"/>
        <v>6.2515313091616163</v>
      </c>
    </row>
    <row r="62" spans="5:17" x14ac:dyDescent="0.2">
      <c r="E62" s="1">
        <v>60</v>
      </c>
      <c r="F62" s="4">
        <f t="shared" si="0"/>
        <v>6076.105395806896</v>
      </c>
      <c r="G62" s="4">
        <f t="shared" si="1"/>
        <v>1312.4785558240753</v>
      </c>
      <c r="H62" s="4">
        <f t="shared" si="2"/>
        <v>4763.6268399828214</v>
      </c>
      <c r="I62" s="4">
        <f>IF($B$2-SUM($G$3:G62)&lt; 0.001,0,$B$2-SUM($G$3:G62))</f>
        <v>931969.51458366809</v>
      </c>
      <c r="J62" s="5">
        <f t="shared" si="3"/>
        <v>7045.4282407407409</v>
      </c>
      <c r="K62" s="5">
        <f t="shared" si="4"/>
        <v>2777.7777777777778</v>
      </c>
      <c r="L62" s="5">
        <f t="shared" si="5"/>
        <v>4267.6504629629626</v>
      </c>
      <c r="M62" s="5">
        <f>IF(E62&lt;=$B$3,$B$2-SUM($K$3:K62),0)</f>
        <v>833333.33333333326</v>
      </c>
      <c r="N62" s="2">
        <v>4.9000000000000004</v>
      </c>
      <c r="O62" s="1">
        <f t="shared" si="6"/>
        <v>6.125</v>
      </c>
      <c r="P62" s="1">
        <f t="shared" si="7"/>
        <v>5.1041666666666666E-3</v>
      </c>
      <c r="Q62" s="1">
        <f t="shared" si="8"/>
        <v>6.2515313091616163</v>
      </c>
    </row>
    <row r="63" spans="5:17" x14ac:dyDescent="0.2">
      <c r="E63" s="1">
        <v>61</v>
      </c>
      <c r="F63" s="4">
        <f t="shared" si="0"/>
        <v>6076.105395806896</v>
      </c>
      <c r="G63" s="4">
        <f t="shared" si="1"/>
        <v>1319.177665119427</v>
      </c>
      <c r="H63" s="4">
        <f t="shared" si="2"/>
        <v>4756.9277306874701</v>
      </c>
      <c r="I63" s="4">
        <f>IF($B$2-SUM($G$3:G63)&lt; 0.001,0,$B$2-SUM($G$3:G63))</f>
        <v>930650.33691854868</v>
      </c>
      <c r="J63" s="5">
        <f t="shared" si="3"/>
        <v>7031.25</v>
      </c>
      <c r="K63" s="5">
        <f t="shared" si="4"/>
        <v>2777.7777777777778</v>
      </c>
      <c r="L63" s="5">
        <f t="shared" si="5"/>
        <v>4253.4722222222208</v>
      </c>
      <c r="M63" s="5">
        <f>IF(E63&lt;=$B$3,$B$2-SUM($K$3:K63),0)</f>
        <v>830555.55555555539</v>
      </c>
      <c r="N63" s="2">
        <v>4.9000000000000004</v>
      </c>
      <c r="O63" s="1">
        <f t="shared" si="6"/>
        <v>6.125</v>
      </c>
      <c r="P63" s="1">
        <f t="shared" si="7"/>
        <v>5.1041666666666666E-3</v>
      </c>
      <c r="Q63" s="1">
        <f t="shared" si="8"/>
        <v>6.2515313091616163</v>
      </c>
    </row>
    <row r="64" spans="5:17" x14ac:dyDescent="0.2">
      <c r="E64" s="1">
        <v>62</v>
      </c>
      <c r="F64" s="4">
        <f t="shared" si="0"/>
        <v>6076.105395806896</v>
      </c>
      <c r="G64" s="4">
        <f t="shared" si="1"/>
        <v>1325.9109677851411</v>
      </c>
      <c r="H64" s="4">
        <f t="shared" si="2"/>
        <v>4750.1944280217558</v>
      </c>
      <c r="I64" s="4">
        <f>IF($B$2-SUM($G$3:G64)&lt; 0.001,0,$B$2-SUM($G$3:G64))</f>
        <v>929324.42595076351</v>
      </c>
      <c r="J64" s="5">
        <f t="shared" si="3"/>
        <v>7017.0717592592591</v>
      </c>
      <c r="K64" s="5">
        <f t="shared" si="4"/>
        <v>2777.7777777777778</v>
      </c>
      <c r="L64" s="5">
        <f t="shared" si="5"/>
        <v>4239.2939814814808</v>
      </c>
      <c r="M64" s="5">
        <f>IF(E64&lt;=$B$3,$B$2-SUM($K$3:K64),0)</f>
        <v>827777.77777777764</v>
      </c>
      <c r="N64" s="2">
        <v>4.9000000000000004</v>
      </c>
      <c r="O64" s="1">
        <f t="shared" si="6"/>
        <v>6.125</v>
      </c>
      <c r="P64" s="1">
        <f t="shared" si="7"/>
        <v>5.1041666666666666E-3</v>
      </c>
      <c r="Q64" s="1">
        <f t="shared" si="8"/>
        <v>6.2515313091616163</v>
      </c>
    </row>
    <row r="65" spans="5:17" x14ac:dyDescent="0.2">
      <c r="E65" s="1">
        <v>63</v>
      </c>
      <c r="F65" s="4">
        <f t="shared" si="0"/>
        <v>6076.105395806896</v>
      </c>
      <c r="G65" s="4">
        <f t="shared" si="1"/>
        <v>1332.6786383498779</v>
      </c>
      <c r="H65" s="4">
        <f t="shared" si="2"/>
        <v>4743.4267574570194</v>
      </c>
      <c r="I65" s="4">
        <f>IF($B$2-SUM($G$3:G65)&lt; 0.001,0,$B$2-SUM($G$3:G65))</f>
        <v>927991.74731241364</v>
      </c>
      <c r="J65" s="5">
        <f t="shared" si="3"/>
        <v>7002.8935185185182</v>
      </c>
      <c r="K65" s="5">
        <f t="shared" si="4"/>
        <v>2777.7777777777778</v>
      </c>
      <c r="L65" s="5">
        <f t="shared" si="5"/>
        <v>4225.11574074074</v>
      </c>
      <c r="M65" s="5">
        <f>IF(E65&lt;=$B$3,$B$2-SUM($K$3:K65),0)</f>
        <v>824999.99999999988</v>
      </c>
      <c r="N65" s="2">
        <v>4.9000000000000004</v>
      </c>
      <c r="O65" s="1">
        <f t="shared" si="6"/>
        <v>6.125</v>
      </c>
      <c r="P65" s="1">
        <f t="shared" si="7"/>
        <v>5.1041666666666666E-3</v>
      </c>
      <c r="Q65" s="1">
        <f t="shared" si="8"/>
        <v>6.2515313091616163</v>
      </c>
    </row>
    <row r="66" spans="5:17" x14ac:dyDescent="0.2">
      <c r="E66" s="1">
        <v>64</v>
      </c>
      <c r="F66" s="4">
        <f t="shared" si="0"/>
        <v>6076.105395806896</v>
      </c>
      <c r="G66" s="4">
        <f t="shared" si="1"/>
        <v>1339.4808522331221</v>
      </c>
      <c r="H66" s="4">
        <f t="shared" si="2"/>
        <v>4736.6245435737746</v>
      </c>
      <c r="I66" s="4">
        <f>IF($B$2-SUM($G$3:G66)&lt; 0.001,0,$B$2-SUM($G$3:G66))</f>
        <v>926652.26646018052</v>
      </c>
      <c r="J66" s="5">
        <f t="shared" si="3"/>
        <v>6988.7152777777774</v>
      </c>
      <c r="K66" s="5">
        <f t="shared" si="4"/>
        <v>2777.7777777777778</v>
      </c>
      <c r="L66" s="5">
        <f t="shared" si="5"/>
        <v>4210.9374999999991</v>
      </c>
      <c r="M66" s="5">
        <f>IF(E66&lt;=$B$3,$B$2-SUM($K$3:K66),0)</f>
        <v>822222.22222222202</v>
      </c>
      <c r="N66" s="2">
        <v>4.9000000000000004</v>
      </c>
      <c r="O66" s="1">
        <f t="shared" si="6"/>
        <v>6.125</v>
      </c>
      <c r="P66" s="1">
        <f t="shared" si="7"/>
        <v>5.1041666666666666E-3</v>
      </c>
      <c r="Q66" s="1">
        <f t="shared" si="8"/>
        <v>6.2515313091616163</v>
      </c>
    </row>
    <row r="67" spans="5:17" x14ac:dyDescent="0.2">
      <c r="E67" s="1">
        <v>65</v>
      </c>
      <c r="F67" s="4">
        <f t="shared" ref="F67:F130" si="9">IF(E67&lt;=$B$3, $B$2*P67*Q67/(Q67-1), 0)</f>
        <v>6076.105395806896</v>
      </c>
      <c r="G67" s="4">
        <f t="shared" ref="G67:G130" si="10">IF(E67&lt;=$B$3,$B$2*P67*POWER((1+P67),(E67-1))/(Q67-1),0)</f>
        <v>1346.3177857497285</v>
      </c>
      <c r="H67" s="4">
        <f t="shared" ref="H67:H130" si="11">IF(E67&lt;=$B$3,$B$2*P67*(Q67-POWER((1+P67),(E67-1)))/(Q67-1),0)</f>
        <v>4729.7876100571684</v>
      </c>
      <c r="I67" s="4">
        <f>IF($B$2-SUM($G$3:G67)&lt; 0.001,0,$B$2-SUM($G$3:G67))</f>
        <v>925305.94867443084</v>
      </c>
      <c r="J67" s="5">
        <f t="shared" ref="J67:J130" si="12">IF(E67&lt;=$B$3, ($B$2/$B$3)+($B$2 - ($B$2/$B$3) * (E67-1))*P67,0)</f>
        <v>6974.5370370370365</v>
      </c>
      <c r="K67" s="5">
        <f t="shared" ref="K67:K130" si="13">IF(E67&lt;=$B$3,$B$2/$B$3,0)</f>
        <v>2777.7777777777778</v>
      </c>
      <c r="L67" s="5">
        <f t="shared" si="5"/>
        <v>4196.7592592592582</v>
      </c>
      <c r="M67" s="5">
        <f>IF(E67&lt;=$B$3,$B$2-SUM($K$3:K67),0)</f>
        <v>819444.44444444426</v>
      </c>
      <c r="N67" s="2">
        <v>4.9000000000000004</v>
      </c>
      <c r="O67" s="1">
        <f t="shared" si="6"/>
        <v>6.125</v>
      </c>
      <c r="P67" s="1">
        <f t="shared" si="7"/>
        <v>5.1041666666666666E-3</v>
      </c>
      <c r="Q67" s="1">
        <f t="shared" si="8"/>
        <v>6.2515313091616163</v>
      </c>
    </row>
    <row r="68" spans="5:17" x14ac:dyDescent="0.2">
      <c r="E68" s="1">
        <v>66</v>
      </c>
      <c r="F68" s="4">
        <f t="shared" si="9"/>
        <v>6076.105395806896</v>
      </c>
      <c r="G68" s="4">
        <f t="shared" si="10"/>
        <v>1353.1896161144928</v>
      </c>
      <c r="H68" s="4">
        <f t="shared" si="11"/>
        <v>4722.9157796924037</v>
      </c>
      <c r="I68" s="4">
        <f>IF($B$2-SUM($G$3:G68)&lt; 0.001,0,$B$2-SUM($G$3:G68))</f>
        <v>923952.75905831635</v>
      </c>
      <c r="J68" s="5">
        <f t="shared" si="12"/>
        <v>6960.3587962962974</v>
      </c>
      <c r="K68" s="5">
        <f t="shared" si="13"/>
        <v>2777.7777777777778</v>
      </c>
      <c r="L68" s="5">
        <f t="shared" ref="L68:L131" si="14">(K68+M68)*P68</f>
        <v>4182.5810185185173</v>
      </c>
      <c r="M68" s="5">
        <f>IF(E68&lt;=$B$3,$B$2-SUM($K$3:K68),0)</f>
        <v>816666.66666666651</v>
      </c>
      <c r="N68" s="2">
        <v>4.9000000000000004</v>
      </c>
      <c r="O68" s="1">
        <f t="shared" ref="O68:O131" si="15">N68*$B$4/100</f>
        <v>6.125</v>
      </c>
      <c r="P68" s="1">
        <f t="shared" ref="P68:P131" si="16">O68/1200</f>
        <v>5.1041666666666666E-3</v>
      </c>
      <c r="Q68" s="1">
        <f t="shared" ref="Q68:Q131" si="17">POWER((1+P68),$B$3)</f>
        <v>6.2515313091616163</v>
      </c>
    </row>
    <row r="69" spans="5:17" x14ac:dyDescent="0.2">
      <c r="E69" s="1">
        <v>67</v>
      </c>
      <c r="F69" s="4">
        <f t="shared" si="9"/>
        <v>6076.105395806896</v>
      </c>
      <c r="G69" s="4">
        <f t="shared" si="10"/>
        <v>1360.096521446744</v>
      </c>
      <c r="H69" s="4">
        <f t="shared" si="11"/>
        <v>4716.0088743601518</v>
      </c>
      <c r="I69" s="4">
        <f>IF($B$2-SUM($G$3:G69)&lt; 0.001,0,$B$2-SUM($G$3:G69))</f>
        <v>922592.66253686952</v>
      </c>
      <c r="J69" s="5">
        <f t="shared" si="12"/>
        <v>6946.1805555555547</v>
      </c>
      <c r="K69" s="5">
        <f t="shared" si="13"/>
        <v>2777.7777777777778</v>
      </c>
      <c r="L69" s="5">
        <f t="shared" si="14"/>
        <v>4168.4027777777765</v>
      </c>
      <c r="M69" s="5">
        <f>IF(E69&lt;=$B$3,$B$2-SUM($K$3:K69),0)</f>
        <v>813888.88888888876</v>
      </c>
      <c r="N69" s="2">
        <v>4.9000000000000004</v>
      </c>
      <c r="O69" s="1">
        <f t="shared" si="15"/>
        <v>6.125</v>
      </c>
      <c r="P69" s="1">
        <f t="shared" si="16"/>
        <v>5.1041666666666666E-3</v>
      </c>
      <c r="Q69" s="1">
        <f t="shared" si="17"/>
        <v>6.2515313091616163</v>
      </c>
    </row>
    <row r="70" spans="5:17" x14ac:dyDescent="0.2">
      <c r="E70" s="1">
        <v>68</v>
      </c>
      <c r="F70" s="4">
        <f t="shared" si="9"/>
        <v>6076.105395806896</v>
      </c>
      <c r="G70" s="4">
        <f t="shared" si="10"/>
        <v>1367.0386807749621</v>
      </c>
      <c r="H70" s="4">
        <f t="shared" si="11"/>
        <v>4709.0667150319341</v>
      </c>
      <c r="I70" s="4">
        <f>IF($B$2-SUM($G$3:G70)&lt; 0.001,0,$B$2-SUM($G$3:G70))</f>
        <v>921225.62385609467</v>
      </c>
      <c r="J70" s="5">
        <f t="shared" si="12"/>
        <v>6932.0023148148139</v>
      </c>
      <c r="K70" s="5">
        <f t="shared" si="13"/>
        <v>2777.7777777777778</v>
      </c>
      <c r="L70" s="5">
        <f t="shared" si="14"/>
        <v>4154.2245370370365</v>
      </c>
      <c r="M70" s="5">
        <f>IF(E70&lt;=$B$3,$B$2-SUM($K$3:K70),0)</f>
        <v>811111.11111111101</v>
      </c>
      <c r="N70" s="2">
        <v>4.9000000000000004</v>
      </c>
      <c r="O70" s="1">
        <f t="shared" si="15"/>
        <v>6.125</v>
      </c>
      <c r="P70" s="1">
        <f t="shared" si="16"/>
        <v>5.1041666666666666E-3</v>
      </c>
      <c r="Q70" s="1">
        <f t="shared" si="17"/>
        <v>6.2515313091616163</v>
      </c>
    </row>
    <row r="71" spans="5:17" x14ac:dyDescent="0.2">
      <c r="E71" s="1">
        <v>69</v>
      </c>
      <c r="F71" s="4">
        <f t="shared" si="9"/>
        <v>6076.105395806896</v>
      </c>
      <c r="G71" s="4">
        <f t="shared" si="10"/>
        <v>1374.0162740414175</v>
      </c>
      <c r="H71" s="4">
        <f t="shared" si="11"/>
        <v>4702.0891217654789</v>
      </c>
      <c r="I71" s="4">
        <f>IF($B$2-SUM($G$3:G71)&lt; 0.001,0,$B$2-SUM($G$3:G71))</f>
        <v>919851.60758205317</v>
      </c>
      <c r="J71" s="5">
        <f t="shared" si="12"/>
        <v>6917.8240740740748</v>
      </c>
      <c r="K71" s="5">
        <f t="shared" si="13"/>
        <v>2777.7777777777778</v>
      </c>
      <c r="L71" s="5">
        <f t="shared" si="14"/>
        <v>4140.0462962962947</v>
      </c>
      <c r="M71" s="5">
        <f>IF(E71&lt;=$B$3,$B$2-SUM($K$3:K71),0)</f>
        <v>808333.33333333314</v>
      </c>
      <c r="N71" s="2">
        <v>4.9000000000000004</v>
      </c>
      <c r="O71" s="1">
        <f t="shared" si="15"/>
        <v>6.125</v>
      </c>
      <c r="P71" s="1">
        <f t="shared" si="16"/>
        <v>5.1041666666666666E-3</v>
      </c>
      <c r="Q71" s="1">
        <f t="shared" si="17"/>
        <v>6.2515313091616163</v>
      </c>
    </row>
    <row r="72" spans="5:17" x14ac:dyDescent="0.2">
      <c r="E72" s="1">
        <v>70</v>
      </c>
      <c r="F72" s="4">
        <f t="shared" si="9"/>
        <v>6076.105395806896</v>
      </c>
      <c r="G72" s="4">
        <f t="shared" si="10"/>
        <v>1381.0294821068376</v>
      </c>
      <c r="H72" s="4">
        <f t="shared" si="11"/>
        <v>4695.0759137000587</v>
      </c>
      <c r="I72" s="4">
        <f>IF($B$2-SUM($G$3:G72)&lt; 0.001,0,$B$2-SUM($G$3:G72))</f>
        <v>918470.57809994638</v>
      </c>
      <c r="J72" s="5">
        <f t="shared" si="12"/>
        <v>6903.6458333333339</v>
      </c>
      <c r="K72" s="5">
        <f t="shared" si="13"/>
        <v>2777.7777777777778</v>
      </c>
      <c r="L72" s="5">
        <f t="shared" si="14"/>
        <v>4125.8680555555547</v>
      </c>
      <c r="M72" s="5">
        <f>IF(E72&lt;=$B$3,$B$2-SUM($K$3:K72),0)</f>
        <v>805555.55555555539</v>
      </c>
      <c r="N72" s="2">
        <v>4.9000000000000004</v>
      </c>
      <c r="O72" s="1">
        <f t="shared" si="15"/>
        <v>6.125</v>
      </c>
      <c r="P72" s="1">
        <f t="shared" si="16"/>
        <v>5.1041666666666666E-3</v>
      </c>
      <c r="Q72" s="1">
        <f t="shared" si="17"/>
        <v>6.2515313091616163</v>
      </c>
    </row>
    <row r="73" spans="5:17" x14ac:dyDescent="0.2">
      <c r="E73" s="1">
        <v>71</v>
      </c>
      <c r="F73" s="4">
        <f t="shared" si="9"/>
        <v>6076.105395806896</v>
      </c>
      <c r="G73" s="4">
        <f t="shared" si="10"/>
        <v>1388.078486755091</v>
      </c>
      <c r="H73" s="4">
        <f t="shared" si="11"/>
        <v>4688.026909051805</v>
      </c>
      <c r="I73" s="4">
        <f>IF($B$2-SUM($G$3:G73)&lt; 0.001,0,$B$2-SUM($G$3:G73))</f>
        <v>917082.49961319123</v>
      </c>
      <c r="J73" s="5">
        <f t="shared" si="12"/>
        <v>6889.4675925925931</v>
      </c>
      <c r="K73" s="5">
        <f t="shared" si="13"/>
        <v>2777.7777777777778</v>
      </c>
      <c r="L73" s="5">
        <f t="shared" si="14"/>
        <v>4111.6898148148139</v>
      </c>
      <c r="M73" s="5">
        <f>IF(E73&lt;=$B$3,$B$2-SUM($K$3:K73),0)</f>
        <v>802777.77777777764</v>
      </c>
      <c r="N73" s="2">
        <v>4.9000000000000004</v>
      </c>
      <c r="O73" s="1">
        <f t="shared" si="15"/>
        <v>6.125</v>
      </c>
      <c r="P73" s="1">
        <f t="shared" si="16"/>
        <v>5.1041666666666666E-3</v>
      </c>
      <c r="Q73" s="1">
        <f t="shared" si="17"/>
        <v>6.2515313091616163</v>
      </c>
    </row>
    <row r="74" spans="5:17" x14ac:dyDescent="0.2">
      <c r="E74" s="1">
        <v>72</v>
      </c>
      <c r="F74" s="4">
        <f t="shared" si="9"/>
        <v>6076.105395806896</v>
      </c>
      <c r="G74" s="4">
        <f t="shared" si="10"/>
        <v>1395.1634706979037</v>
      </c>
      <c r="H74" s="4">
        <f t="shared" si="11"/>
        <v>4680.941925108993</v>
      </c>
      <c r="I74" s="4">
        <f>IF($B$2-SUM($G$3:G74)&lt; 0.001,0,$B$2-SUM($G$3:G74))</f>
        <v>915687.3361424933</v>
      </c>
      <c r="J74" s="5">
        <f t="shared" si="12"/>
        <v>6875.2893518518522</v>
      </c>
      <c r="K74" s="5">
        <f t="shared" si="13"/>
        <v>2777.7777777777778</v>
      </c>
      <c r="L74" s="5">
        <f t="shared" si="14"/>
        <v>4097.511574074073</v>
      </c>
      <c r="M74" s="5">
        <f>IF(E74&lt;=$B$3,$B$2-SUM($K$3:K74),0)</f>
        <v>799999.99999999977</v>
      </c>
      <c r="N74" s="2">
        <v>4.9000000000000004</v>
      </c>
      <c r="O74" s="1">
        <f t="shared" si="15"/>
        <v>6.125</v>
      </c>
      <c r="P74" s="1">
        <f t="shared" si="16"/>
        <v>5.1041666666666666E-3</v>
      </c>
      <c r="Q74" s="1">
        <f t="shared" si="17"/>
        <v>6.2515313091616163</v>
      </c>
    </row>
    <row r="75" spans="5:17" x14ac:dyDescent="0.2">
      <c r="E75" s="1">
        <v>73</v>
      </c>
      <c r="F75" s="4">
        <f t="shared" si="9"/>
        <v>6076.105395806896</v>
      </c>
      <c r="G75" s="4">
        <f t="shared" si="10"/>
        <v>1402.2846175795908</v>
      </c>
      <c r="H75" s="4">
        <f t="shared" si="11"/>
        <v>4673.8207782273057</v>
      </c>
      <c r="I75" s="4">
        <f>IF($B$2-SUM($G$3:G75)&lt; 0.001,0,$B$2-SUM($G$3:G75))</f>
        <v>914285.05152491375</v>
      </c>
      <c r="J75" s="5">
        <f t="shared" si="12"/>
        <v>6861.1111111111113</v>
      </c>
      <c r="K75" s="5">
        <f t="shared" si="13"/>
        <v>2777.7777777777778</v>
      </c>
      <c r="L75" s="5">
        <f t="shared" si="14"/>
        <v>4083.3333333333321</v>
      </c>
      <c r="M75" s="5">
        <f>IF(E75&lt;=$B$3,$B$2-SUM($K$3:K75),0)</f>
        <v>797222.22222222202</v>
      </c>
      <c r="N75" s="2">
        <v>4.9000000000000004</v>
      </c>
      <c r="O75" s="1">
        <f t="shared" si="15"/>
        <v>6.125</v>
      </c>
      <c r="P75" s="1">
        <f t="shared" si="16"/>
        <v>5.1041666666666666E-3</v>
      </c>
      <c r="Q75" s="1">
        <f t="shared" si="17"/>
        <v>6.2515313091616163</v>
      </c>
    </row>
    <row r="76" spans="5:17" x14ac:dyDescent="0.2">
      <c r="E76" s="1">
        <v>74</v>
      </c>
      <c r="F76" s="4">
        <f t="shared" si="9"/>
        <v>6076.105395806896</v>
      </c>
      <c r="G76" s="4">
        <f t="shared" si="10"/>
        <v>1409.4421119818201</v>
      </c>
      <c r="H76" s="4">
        <f t="shared" si="11"/>
        <v>4666.6632838250762</v>
      </c>
      <c r="I76" s="4">
        <f>IF($B$2-SUM($G$3:G76)&lt; 0.001,0,$B$2-SUM($G$3:G76))</f>
        <v>912875.60941293195</v>
      </c>
      <c r="J76" s="5">
        <f t="shared" si="12"/>
        <v>6846.9328703703704</v>
      </c>
      <c r="K76" s="5">
        <f t="shared" si="13"/>
        <v>2777.7777777777778</v>
      </c>
      <c r="L76" s="5">
        <f t="shared" si="14"/>
        <v>4069.1550925925912</v>
      </c>
      <c r="M76" s="5">
        <f>IF(E76&lt;=$B$3,$B$2-SUM($K$3:K76),0)</f>
        <v>794444.44444444426</v>
      </c>
      <c r="N76" s="2">
        <v>4.9000000000000004</v>
      </c>
      <c r="O76" s="1">
        <f t="shared" si="15"/>
        <v>6.125</v>
      </c>
      <c r="P76" s="1">
        <f t="shared" si="16"/>
        <v>5.1041666666666666E-3</v>
      </c>
      <c r="Q76" s="1">
        <f t="shared" si="17"/>
        <v>6.2515313091616163</v>
      </c>
    </row>
    <row r="77" spans="5:17" x14ac:dyDescent="0.2">
      <c r="E77" s="1">
        <v>75</v>
      </c>
      <c r="F77" s="4">
        <f t="shared" si="9"/>
        <v>6076.105395806896</v>
      </c>
      <c r="G77" s="4">
        <f t="shared" si="10"/>
        <v>1416.6361394283938</v>
      </c>
      <c r="H77" s="4">
        <f t="shared" si="11"/>
        <v>4659.4692563785029</v>
      </c>
      <c r="I77" s="4">
        <f>IF($B$2-SUM($G$3:G77)&lt; 0.001,0,$B$2-SUM($G$3:G77))</f>
        <v>911458.97327350359</v>
      </c>
      <c r="J77" s="5">
        <f t="shared" si="12"/>
        <v>6832.7546296296296</v>
      </c>
      <c r="K77" s="5">
        <f t="shared" si="13"/>
        <v>2777.7777777777778</v>
      </c>
      <c r="L77" s="5">
        <f t="shared" si="14"/>
        <v>4054.9768518518508</v>
      </c>
      <c r="M77" s="5">
        <f>IF(E77&lt;=$B$3,$B$2-SUM($K$3:K77),0)</f>
        <v>791666.66666666651</v>
      </c>
      <c r="N77" s="2">
        <v>4.9000000000000004</v>
      </c>
      <c r="O77" s="1">
        <f t="shared" si="15"/>
        <v>6.125</v>
      </c>
      <c r="P77" s="1">
        <f t="shared" si="16"/>
        <v>5.1041666666666666E-3</v>
      </c>
      <c r="Q77" s="1">
        <f t="shared" si="17"/>
        <v>6.2515313091616163</v>
      </c>
    </row>
    <row r="78" spans="5:17" x14ac:dyDescent="0.2">
      <c r="E78" s="1">
        <v>76</v>
      </c>
      <c r="F78" s="4">
        <f t="shared" si="9"/>
        <v>6076.105395806896</v>
      </c>
      <c r="G78" s="4">
        <f t="shared" si="10"/>
        <v>1423.86688639006</v>
      </c>
      <c r="H78" s="4">
        <f t="shared" si="11"/>
        <v>4652.2385094168367</v>
      </c>
      <c r="I78" s="4">
        <f>IF($B$2-SUM($G$3:G78)&lt; 0.001,0,$B$2-SUM($G$3:G78))</f>
        <v>910035.10638711345</v>
      </c>
      <c r="J78" s="5">
        <f t="shared" si="12"/>
        <v>6818.5763888888887</v>
      </c>
      <c r="K78" s="5">
        <f t="shared" si="13"/>
        <v>2777.7777777777778</v>
      </c>
      <c r="L78" s="5">
        <f t="shared" si="14"/>
        <v>4040.7986111111104</v>
      </c>
      <c r="M78" s="5">
        <f>IF(E78&lt;=$B$3,$B$2-SUM($K$3:K78),0)</f>
        <v>788888.88888888876</v>
      </c>
      <c r="N78" s="2">
        <v>4.9000000000000004</v>
      </c>
      <c r="O78" s="1">
        <f t="shared" si="15"/>
        <v>6.125</v>
      </c>
      <c r="P78" s="1">
        <f t="shared" si="16"/>
        <v>5.1041666666666666E-3</v>
      </c>
      <c r="Q78" s="1">
        <f t="shared" si="17"/>
        <v>6.2515313091616163</v>
      </c>
    </row>
    <row r="79" spans="5:17" x14ac:dyDescent="0.2">
      <c r="E79" s="1">
        <v>77</v>
      </c>
      <c r="F79" s="4">
        <f t="shared" si="9"/>
        <v>6076.105395806896</v>
      </c>
      <c r="G79" s="4">
        <f t="shared" si="10"/>
        <v>1431.1345402893426</v>
      </c>
      <c r="H79" s="4">
        <f t="shared" si="11"/>
        <v>4644.9708555175539</v>
      </c>
      <c r="I79" s="4">
        <f>IF($B$2-SUM($G$3:G79)&lt; 0.001,0,$B$2-SUM($G$3:G79))</f>
        <v>908603.97184682416</v>
      </c>
      <c r="J79" s="5">
        <f t="shared" si="12"/>
        <v>6804.3981481481478</v>
      </c>
      <c r="K79" s="5">
        <f t="shared" si="13"/>
        <v>2777.7777777777778</v>
      </c>
      <c r="L79" s="5">
        <f t="shared" si="14"/>
        <v>4026.6203703703691</v>
      </c>
      <c r="M79" s="5">
        <f>IF(E79&lt;=$B$3,$B$2-SUM($K$3:K79),0)</f>
        <v>786111.11111111089</v>
      </c>
      <c r="N79" s="2">
        <v>4.9000000000000004</v>
      </c>
      <c r="O79" s="1">
        <f t="shared" si="15"/>
        <v>6.125</v>
      </c>
      <c r="P79" s="1">
        <f t="shared" si="16"/>
        <v>5.1041666666666666E-3</v>
      </c>
      <c r="Q79" s="1">
        <f t="shared" si="17"/>
        <v>6.2515313091616163</v>
      </c>
    </row>
    <row r="80" spans="5:17" x14ac:dyDescent="0.2">
      <c r="E80" s="1">
        <v>78</v>
      </c>
      <c r="F80" s="4">
        <f t="shared" si="9"/>
        <v>6076.105395806896</v>
      </c>
      <c r="G80" s="4">
        <f t="shared" si="10"/>
        <v>1438.4392895054027</v>
      </c>
      <c r="H80" s="4">
        <f t="shared" si="11"/>
        <v>4637.6661063014935</v>
      </c>
      <c r="I80" s="4">
        <f>IF($B$2-SUM($G$3:G80)&lt; 0.001,0,$B$2-SUM($G$3:G80))</f>
        <v>907165.53255731869</v>
      </c>
      <c r="J80" s="5">
        <f t="shared" si="12"/>
        <v>6790.2199074074069</v>
      </c>
      <c r="K80" s="5">
        <f t="shared" si="13"/>
        <v>2777.7777777777778</v>
      </c>
      <c r="L80" s="5">
        <f t="shared" si="14"/>
        <v>4012.4421296296287</v>
      </c>
      <c r="M80" s="5">
        <f>IF(E80&lt;=$B$3,$B$2-SUM($K$3:K80),0)</f>
        <v>783333.33333333314</v>
      </c>
      <c r="N80" s="2">
        <v>4.9000000000000004</v>
      </c>
      <c r="O80" s="1">
        <f t="shared" si="15"/>
        <v>6.125</v>
      </c>
      <c r="P80" s="1">
        <f t="shared" si="16"/>
        <v>5.1041666666666666E-3</v>
      </c>
      <c r="Q80" s="1">
        <f t="shared" si="17"/>
        <v>6.2515313091616163</v>
      </c>
    </row>
    <row r="81" spans="5:17" x14ac:dyDescent="0.2">
      <c r="E81" s="1">
        <v>79</v>
      </c>
      <c r="F81" s="4">
        <f t="shared" si="9"/>
        <v>6076.105395806896</v>
      </c>
      <c r="G81" s="4">
        <f t="shared" si="10"/>
        <v>1445.7813233789202</v>
      </c>
      <c r="H81" s="4">
        <f t="shared" si="11"/>
        <v>4630.3240724279758</v>
      </c>
      <c r="I81" s="4">
        <f>IF($B$2-SUM($G$3:G81)&lt; 0.001,0,$B$2-SUM($G$3:G81))</f>
        <v>905719.75123393978</v>
      </c>
      <c r="J81" s="5">
        <f t="shared" si="12"/>
        <v>6776.041666666667</v>
      </c>
      <c r="K81" s="5">
        <f t="shared" si="13"/>
        <v>2777.7777777777778</v>
      </c>
      <c r="L81" s="5">
        <f t="shared" si="14"/>
        <v>3998.2638888888878</v>
      </c>
      <c r="M81" s="5">
        <f>IF(E81&lt;=$B$3,$B$2-SUM($K$3:K81),0)</f>
        <v>780555.55555555539</v>
      </c>
      <c r="N81" s="2">
        <v>4.9000000000000004</v>
      </c>
      <c r="O81" s="1">
        <f t="shared" si="15"/>
        <v>6.125</v>
      </c>
      <c r="P81" s="1">
        <f t="shared" si="16"/>
        <v>5.1041666666666666E-3</v>
      </c>
      <c r="Q81" s="1">
        <f t="shared" si="17"/>
        <v>6.2515313091616163</v>
      </c>
    </row>
    <row r="82" spans="5:17" x14ac:dyDescent="0.2">
      <c r="E82" s="1">
        <v>80</v>
      </c>
      <c r="F82" s="4">
        <f t="shared" si="9"/>
        <v>6076.105395806896</v>
      </c>
      <c r="G82" s="4">
        <f t="shared" si="10"/>
        <v>1453.1608322170002</v>
      </c>
      <c r="H82" s="4">
        <f t="shared" si="11"/>
        <v>4622.9445635898965</v>
      </c>
      <c r="I82" s="4">
        <f>IF($B$2-SUM($G$3:G82)&lt; 0.001,0,$B$2-SUM($G$3:G82))</f>
        <v>904266.59040172282</v>
      </c>
      <c r="J82" s="5">
        <f t="shared" si="12"/>
        <v>6761.8634259259252</v>
      </c>
      <c r="K82" s="5">
        <f t="shared" si="13"/>
        <v>2777.7777777777778</v>
      </c>
      <c r="L82" s="5">
        <f t="shared" si="14"/>
        <v>3984.0856481481464</v>
      </c>
      <c r="M82" s="5">
        <f>IF(E82&lt;=$B$3,$B$2-SUM($K$3:K82),0)</f>
        <v>777777.77777777752</v>
      </c>
      <c r="N82" s="2">
        <v>4.9000000000000004</v>
      </c>
      <c r="O82" s="1">
        <f t="shared" si="15"/>
        <v>6.125</v>
      </c>
      <c r="P82" s="1">
        <f t="shared" si="16"/>
        <v>5.1041666666666666E-3</v>
      </c>
      <c r="Q82" s="1">
        <f t="shared" si="17"/>
        <v>6.2515313091616163</v>
      </c>
    </row>
    <row r="83" spans="5:17" x14ac:dyDescent="0.2">
      <c r="E83" s="1">
        <v>81</v>
      </c>
      <c r="F83" s="4">
        <f t="shared" si="9"/>
        <v>6076.105395806896</v>
      </c>
      <c r="G83" s="4">
        <f t="shared" si="10"/>
        <v>1460.5780072981077</v>
      </c>
      <c r="H83" s="4">
        <f t="shared" si="11"/>
        <v>4615.527388508789</v>
      </c>
      <c r="I83" s="4">
        <f>IF($B$2-SUM($G$3:G83)&lt; 0.001,0,$B$2-SUM($G$3:G83))</f>
        <v>902806.01239442476</v>
      </c>
      <c r="J83" s="5">
        <f t="shared" si="12"/>
        <v>6747.6851851851852</v>
      </c>
      <c r="K83" s="5">
        <f t="shared" si="13"/>
        <v>2777.7777777777778</v>
      </c>
      <c r="L83" s="5">
        <f t="shared" si="14"/>
        <v>3969.907407407406</v>
      </c>
      <c r="M83" s="5">
        <f>IF(E83&lt;=$B$3,$B$2-SUM($K$3:K83),0)</f>
        <v>774999.99999999977</v>
      </c>
      <c r="N83" s="2">
        <v>4.9000000000000004</v>
      </c>
      <c r="O83" s="1">
        <f t="shared" si="15"/>
        <v>6.125</v>
      </c>
      <c r="P83" s="1">
        <f t="shared" si="16"/>
        <v>5.1041666666666666E-3</v>
      </c>
      <c r="Q83" s="1">
        <f t="shared" si="17"/>
        <v>6.2515313091616163</v>
      </c>
    </row>
    <row r="84" spans="5:17" x14ac:dyDescent="0.2">
      <c r="E84" s="1">
        <v>82</v>
      </c>
      <c r="F84" s="4">
        <f t="shared" si="9"/>
        <v>6076.105395806896</v>
      </c>
      <c r="G84" s="4">
        <f t="shared" si="10"/>
        <v>1468.0330408770253</v>
      </c>
      <c r="H84" s="4">
        <f t="shared" si="11"/>
        <v>4608.0723549298709</v>
      </c>
      <c r="I84" s="4">
        <f>IF($B$2-SUM($G$3:G84)&lt; 0.001,0,$B$2-SUM($G$3:G84))</f>
        <v>901337.97935354768</v>
      </c>
      <c r="J84" s="5">
        <f t="shared" si="12"/>
        <v>6733.5069444444443</v>
      </c>
      <c r="K84" s="5">
        <f t="shared" si="13"/>
        <v>2777.7777777777778</v>
      </c>
      <c r="L84" s="5">
        <f t="shared" si="14"/>
        <v>3955.7291666666656</v>
      </c>
      <c r="M84" s="5">
        <f>IF(E84&lt;=$B$3,$B$2-SUM($K$3:K84),0)</f>
        <v>772222.22222222202</v>
      </c>
      <c r="N84" s="2">
        <v>4.9000000000000004</v>
      </c>
      <c r="O84" s="1">
        <f t="shared" si="15"/>
        <v>6.125</v>
      </c>
      <c r="P84" s="1">
        <f t="shared" si="16"/>
        <v>5.1041666666666666E-3</v>
      </c>
      <c r="Q84" s="1">
        <f t="shared" si="17"/>
        <v>6.2515313091616163</v>
      </c>
    </row>
    <row r="85" spans="5:17" x14ac:dyDescent="0.2">
      <c r="E85" s="1">
        <v>83</v>
      </c>
      <c r="F85" s="4">
        <f t="shared" si="9"/>
        <v>6076.105395806896</v>
      </c>
      <c r="G85" s="4">
        <f t="shared" si="10"/>
        <v>1475.5261261898352</v>
      </c>
      <c r="H85" s="4">
        <f t="shared" si="11"/>
        <v>4600.579269617062</v>
      </c>
      <c r="I85" s="4">
        <f>IF($B$2-SUM($G$3:G85)&lt; 0.001,0,$B$2-SUM($G$3:G85))</f>
        <v>899862.45322735782</v>
      </c>
      <c r="J85" s="5">
        <f t="shared" si="12"/>
        <v>6719.3287037037044</v>
      </c>
      <c r="K85" s="5">
        <f t="shared" si="13"/>
        <v>2777.7777777777778</v>
      </c>
      <c r="L85" s="5">
        <f t="shared" si="14"/>
        <v>3941.5509259259247</v>
      </c>
      <c r="M85" s="5">
        <f>IF(E85&lt;=$B$3,$B$2-SUM($K$3:K85),0)</f>
        <v>769444.44444444426</v>
      </c>
      <c r="N85" s="2">
        <v>4.9000000000000004</v>
      </c>
      <c r="O85" s="1">
        <f t="shared" si="15"/>
        <v>6.125</v>
      </c>
      <c r="P85" s="1">
        <f t="shared" si="16"/>
        <v>5.1041666666666666E-3</v>
      </c>
      <c r="Q85" s="1">
        <f t="shared" si="17"/>
        <v>6.2515313091616163</v>
      </c>
    </row>
    <row r="86" spans="5:17" x14ac:dyDescent="0.2">
      <c r="E86" s="1">
        <v>84</v>
      </c>
      <c r="F86" s="4">
        <f t="shared" si="9"/>
        <v>6076.105395806896</v>
      </c>
      <c r="G86" s="4">
        <f t="shared" si="10"/>
        <v>1483.0574574589291</v>
      </c>
      <c r="H86" s="4">
        <f t="shared" si="11"/>
        <v>4593.0479383479678</v>
      </c>
      <c r="I86" s="4">
        <f>IF($B$2-SUM($G$3:G86)&lt; 0.001,0,$B$2-SUM($G$3:G86))</f>
        <v>898379.3957698989</v>
      </c>
      <c r="J86" s="5">
        <f t="shared" si="12"/>
        <v>6705.1504629629635</v>
      </c>
      <c r="K86" s="5">
        <f t="shared" si="13"/>
        <v>2777.7777777777778</v>
      </c>
      <c r="L86" s="5">
        <f t="shared" si="14"/>
        <v>3927.3726851851843</v>
      </c>
      <c r="M86" s="5">
        <f>IF(E86&lt;=$B$3,$B$2-SUM($K$3:K86),0)</f>
        <v>766666.66666666651</v>
      </c>
      <c r="N86" s="2">
        <v>4.9000000000000004</v>
      </c>
      <c r="O86" s="1">
        <f t="shared" si="15"/>
        <v>6.125</v>
      </c>
      <c r="P86" s="1">
        <f t="shared" si="16"/>
        <v>5.1041666666666666E-3</v>
      </c>
      <c r="Q86" s="1">
        <f t="shared" si="17"/>
        <v>6.2515313091616163</v>
      </c>
    </row>
    <row r="87" spans="5:17" x14ac:dyDescent="0.2">
      <c r="E87" s="1">
        <v>85</v>
      </c>
      <c r="F87" s="4">
        <f t="shared" si="9"/>
        <v>6076.105395806896</v>
      </c>
      <c r="G87" s="4">
        <f t="shared" si="10"/>
        <v>1490.6272298980425</v>
      </c>
      <c r="H87" s="4">
        <f t="shared" si="11"/>
        <v>4585.478165908854</v>
      </c>
      <c r="I87" s="4">
        <f>IF($B$2-SUM($G$3:G87)&lt; 0.001,0,$B$2-SUM($G$3:G87))</f>
        <v>896888.76854000089</v>
      </c>
      <c r="J87" s="5">
        <f t="shared" si="12"/>
        <v>6690.9722222222226</v>
      </c>
      <c r="K87" s="5">
        <f t="shared" si="13"/>
        <v>2777.7777777777778</v>
      </c>
      <c r="L87" s="5">
        <f t="shared" si="14"/>
        <v>3913.194444444443</v>
      </c>
      <c r="M87" s="5">
        <f>IF(E87&lt;=$B$3,$B$2-SUM($K$3:K87),0)</f>
        <v>763888.88888888864</v>
      </c>
      <c r="N87" s="2">
        <v>4.9000000000000004</v>
      </c>
      <c r="O87" s="1">
        <f t="shared" si="15"/>
        <v>6.125</v>
      </c>
      <c r="P87" s="1">
        <f t="shared" si="16"/>
        <v>5.1041666666666666E-3</v>
      </c>
      <c r="Q87" s="1">
        <f t="shared" si="17"/>
        <v>6.2515313091616163</v>
      </c>
    </row>
    <row r="88" spans="5:17" x14ac:dyDescent="0.2">
      <c r="E88" s="1">
        <v>86</v>
      </c>
      <c r="F88" s="4">
        <f t="shared" si="9"/>
        <v>6076.105395806896</v>
      </c>
      <c r="G88" s="4">
        <f t="shared" si="10"/>
        <v>1498.2356397173139</v>
      </c>
      <c r="H88" s="4">
        <f t="shared" si="11"/>
        <v>4577.8697560895826</v>
      </c>
      <c r="I88" s="4">
        <f>IF($B$2-SUM($G$3:G88)&lt; 0.001,0,$B$2-SUM($G$3:G88))</f>
        <v>895390.53290028358</v>
      </c>
      <c r="J88" s="5">
        <f t="shared" si="12"/>
        <v>6676.7939814814818</v>
      </c>
      <c r="K88" s="5">
        <f t="shared" si="13"/>
        <v>2777.7777777777778</v>
      </c>
      <c r="L88" s="5">
        <f t="shared" si="14"/>
        <v>3899.0162037037026</v>
      </c>
      <c r="M88" s="5">
        <f>IF(E88&lt;=$B$3,$B$2-SUM($K$3:K88),0)</f>
        <v>761111.11111111089</v>
      </c>
      <c r="N88" s="2">
        <v>4.9000000000000004</v>
      </c>
      <c r="O88" s="1">
        <f t="shared" si="15"/>
        <v>6.125</v>
      </c>
      <c r="P88" s="1">
        <f t="shared" si="16"/>
        <v>5.1041666666666666E-3</v>
      </c>
      <c r="Q88" s="1">
        <f t="shared" si="17"/>
        <v>6.2515313091616163</v>
      </c>
    </row>
    <row r="89" spans="5:17" x14ac:dyDescent="0.2">
      <c r="E89" s="1">
        <v>87</v>
      </c>
      <c r="F89" s="4">
        <f t="shared" si="9"/>
        <v>6076.105395806896</v>
      </c>
      <c r="G89" s="4">
        <f t="shared" si="10"/>
        <v>1505.8828841283714</v>
      </c>
      <c r="H89" s="4">
        <f t="shared" si="11"/>
        <v>4570.2225116785248</v>
      </c>
      <c r="I89" s="4">
        <f>IF($B$2-SUM($G$3:G89)&lt; 0.001,0,$B$2-SUM($G$3:G89))</f>
        <v>893884.65001615521</v>
      </c>
      <c r="J89" s="5">
        <f t="shared" si="12"/>
        <v>6662.6157407407409</v>
      </c>
      <c r="K89" s="5">
        <f t="shared" si="13"/>
        <v>2777.7777777777778</v>
      </c>
      <c r="L89" s="5">
        <f t="shared" si="14"/>
        <v>3884.8379629629617</v>
      </c>
      <c r="M89" s="5">
        <f>IF(E89&lt;=$B$3,$B$2-SUM($K$3:K89),0)</f>
        <v>758333.33333333314</v>
      </c>
      <c r="N89" s="2">
        <v>4.9000000000000004</v>
      </c>
      <c r="O89" s="1">
        <f t="shared" si="15"/>
        <v>6.125</v>
      </c>
      <c r="P89" s="1">
        <f t="shared" si="16"/>
        <v>5.1041666666666666E-3</v>
      </c>
      <c r="Q89" s="1">
        <f t="shared" si="17"/>
        <v>6.2515313091616163</v>
      </c>
    </row>
    <row r="90" spans="5:17" x14ac:dyDescent="0.2">
      <c r="E90" s="1">
        <v>88</v>
      </c>
      <c r="F90" s="4">
        <f t="shared" si="9"/>
        <v>6076.105395806896</v>
      </c>
      <c r="G90" s="4">
        <f t="shared" si="10"/>
        <v>1513.5691613494432</v>
      </c>
      <c r="H90" s="4">
        <f t="shared" si="11"/>
        <v>4562.5362344574532</v>
      </c>
      <c r="I90" s="4">
        <f>IF($B$2-SUM($G$3:G90)&lt; 0.001,0,$B$2-SUM($G$3:G90))</f>
        <v>892371.08085480577</v>
      </c>
      <c r="J90" s="5">
        <f t="shared" si="12"/>
        <v>6648.4375</v>
      </c>
      <c r="K90" s="5">
        <f t="shared" si="13"/>
        <v>2777.7777777777778</v>
      </c>
      <c r="L90" s="5">
        <f t="shared" si="14"/>
        <v>3870.6597222222204</v>
      </c>
      <c r="M90" s="5">
        <f>IF(E90&lt;=$B$3,$B$2-SUM($K$3:K90),0)</f>
        <v>755555.55555555527</v>
      </c>
      <c r="N90" s="2">
        <v>4.9000000000000004</v>
      </c>
      <c r="O90" s="1">
        <f t="shared" si="15"/>
        <v>6.125</v>
      </c>
      <c r="P90" s="1">
        <f t="shared" si="16"/>
        <v>5.1041666666666666E-3</v>
      </c>
      <c r="Q90" s="1">
        <f t="shared" si="17"/>
        <v>6.2515313091616163</v>
      </c>
    </row>
    <row r="91" spans="5:17" x14ac:dyDescent="0.2">
      <c r="E91" s="1">
        <v>89</v>
      </c>
      <c r="F91" s="4">
        <f t="shared" si="9"/>
        <v>6076.105395806896</v>
      </c>
      <c r="G91" s="4">
        <f t="shared" si="10"/>
        <v>1521.2946706104974</v>
      </c>
      <c r="H91" s="4">
        <f t="shared" si="11"/>
        <v>4554.8107251963993</v>
      </c>
      <c r="I91" s="4">
        <f>IF($B$2-SUM($G$3:G91)&lt; 0.001,0,$B$2-SUM($G$3:G91))</f>
        <v>890849.7861841952</v>
      </c>
      <c r="J91" s="5">
        <f t="shared" si="12"/>
        <v>6634.2592592592591</v>
      </c>
      <c r="K91" s="5">
        <f t="shared" si="13"/>
        <v>2777.7777777777778</v>
      </c>
      <c r="L91" s="5">
        <f t="shared" si="14"/>
        <v>3856.4814814814799</v>
      </c>
      <c r="M91" s="5">
        <f>IF(E91&lt;=$B$3,$B$2-SUM($K$3:K91),0)</f>
        <v>752777.77777777752</v>
      </c>
      <c r="N91" s="2">
        <v>4.9000000000000004</v>
      </c>
      <c r="O91" s="1">
        <f t="shared" si="15"/>
        <v>6.125</v>
      </c>
      <c r="P91" s="1">
        <f t="shared" si="16"/>
        <v>5.1041666666666666E-3</v>
      </c>
      <c r="Q91" s="1">
        <f t="shared" si="17"/>
        <v>6.2515313091616163</v>
      </c>
    </row>
    <row r="92" spans="5:17" x14ac:dyDescent="0.2">
      <c r="E92" s="1">
        <v>90</v>
      </c>
      <c r="F92" s="4">
        <f t="shared" si="9"/>
        <v>6076.105395806896</v>
      </c>
      <c r="G92" s="4">
        <f t="shared" si="10"/>
        <v>1529.0596121584056</v>
      </c>
      <c r="H92" s="4">
        <f t="shared" si="11"/>
        <v>4547.0457836484911</v>
      </c>
      <c r="I92" s="4">
        <f>IF($B$2-SUM($G$3:G92)&lt; 0.001,0,$B$2-SUM($G$3:G92))</f>
        <v>889320.72657203686</v>
      </c>
      <c r="J92" s="5">
        <f t="shared" si="12"/>
        <v>6620.0810185185182</v>
      </c>
      <c r="K92" s="5">
        <f t="shared" si="13"/>
        <v>2777.7777777777778</v>
      </c>
      <c r="L92" s="5">
        <f t="shared" si="14"/>
        <v>3842.3032407407395</v>
      </c>
      <c r="M92" s="5">
        <f>IF(E92&lt;=$B$3,$B$2-SUM($K$3:K92),0)</f>
        <v>749999.99999999977</v>
      </c>
      <c r="N92" s="2">
        <v>4.9000000000000004</v>
      </c>
      <c r="O92" s="1">
        <f t="shared" si="15"/>
        <v>6.125</v>
      </c>
      <c r="P92" s="1">
        <f t="shared" si="16"/>
        <v>5.1041666666666666E-3</v>
      </c>
      <c r="Q92" s="1">
        <f t="shared" si="17"/>
        <v>6.2515313091616163</v>
      </c>
    </row>
    <row r="93" spans="5:17" x14ac:dyDescent="0.2">
      <c r="E93" s="1">
        <v>91</v>
      </c>
      <c r="F93" s="4">
        <f t="shared" si="9"/>
        <v>6076.105395806896</v>
      </c>
      <c r="G93" s="4">
        <f t="shared" si="10"/>
        <v>1536.8641872621304</v>
      </c>
      <c r="H93" s="4">
        <f t="shared" si="11"/>
        <v>4539.2412085447659</v>
      </c>
      <c r="I93" s="4">
        <f>IF($B$2-SUM($G$3:G93)&lt; 0.001,0,$B$2-SUM($G$3:G93))</f>
        <v>887783.86238477472</v>
      </c>
      <c r="J93" s="5">
        <f t="shared" si="12"/>
        <v>6605.9027777777774</v>
      </c>
      <c r="K93" s="5">
        <f t="shared" si="13"/>
        <v>2777.7777777777778</v>
      </c>
      <c r="L93" s="5">
        <f t="shared" si="14"/>
        <v>3828.1249999999986</v>
      </c>
      <c r="M93" s="5">
        <f>IF(E93&lt;=$B$3,$B$2-SUM($K$3:K93),0)</f>
        <v>747222.22222222202</v>
      </c>
      <c r="N93" s="2">
        <v>4.9000000000000004</v>
      </c>
      <c r="O93" s="1">
        <f t="shared" si="15"/>
        <v>6.125</v>
      </c>
      <c r="P93" s="1">
        <f t="shared" si="16"/>
        <v>5.1041666666666666E-3</v>
      </c>
      <c r="Q93" s="1">
        <f t="shared" si="17"/>
        <v>6.2515313091616163</v>
      </c>
    </row>
    <row r="94" spans="5:17" x14ac:dyDescent="0.2">
      <c r="E94" s="1">
        <v>92</v>
      </c>
      <c r="F94" s="4">
        <f t="shared" si="9"/>
        <v>6076.105395806896</v>
      </c>
      <c r="G94" s="4">
        <f t="shared" si="10"/>
        <v>1544.7085982179481</v>
      </c>
      <c r="H94" s="4">
        <f t="shared" si="11"/>
        <v>4531.3967975889482</v>
      </c>
      <c r="I94" s="4">
        <f>IF($B$2-SUM($G$3:G94)&lt; 0.001,0,$B$2-SUM($G$3:G94))</f>
        <v>886239.1537865568</v>
      </c>
      <c r="J94" s="5">
        <f t="shared" si="12"/>
        <v>6591.7245370370365</v>
      </c>
      <c r="K94" s="5">
        <f t="shared" si="13"/>
        <v>2777.7777777777778</v>
      </c>
      <c r="L94" s="5">
        <f t="shared" si="14"/>
        <v>3813.9467592592582</v>
      </c>
      <c r="M94" s="5">
        <f>IF(E94&lt;=$B$3,$B$2-SUM($K$3:K94),0)</f>
        <v>744444.44444444426</v>
      </c>
      <c r="N94" s="2">
        <v>4.9000000000000004</v>
      </c>
      <c r="O94" s="1">
        <f t="shared" si="15"/>
        <v>6.125</v>
      </c>
      <c r="P94" s="1">
        <f t="shared" si="16"/>
        <v>5.1041666666666666E-3</v>
      </c>
      <c r="Q94" s="1">
        <f t="shared" si="17"/>
        <v>6.2515313091616163</v>
      </c>
    </row>
    <row r="95" spans="5:17" x14ac:dyDescent="0.2">
      <c r="E95" s="1">
        <v>93</v>
      </c>
      <c r="F95" s="4">
        <f t="shared" si="9"/>
        <v>6076.105395806896</v>
      </c>
      <c r="G95" s="4">
        <f t="shared" si="10"/>
        <v>1552.5930483546852</v>
      </c>
      <c r="H95" s="4">
        <f t="shared" si="11"/>
        <v>4523.5123474522115</v>
      </c>
      <c r="I95" s="4">
        <f>IF($B$2-SUM($G$3:G95)&lt; 0.001,0,$B$2-SUM($G$3:G95))</f>
        <v>884686.56073820207</v>
      </c>
      <c r="J95" s="5">
        <f t="shared" si="12"/>
        <v>6577.5462962962965</v>
      </c>
      <c r="K95" s="5">
        <f t="shared" si="13"/>
        <v>2777.7777777777778</v>
      </c>
      <c r="L95" s="5">
        <f t="shared" si="14"/>
        <v>3799.7685185185169</v>
      </c>
      <c r="M95" s="5">
        <f>IF(E95&lt;=$B$3,$B$2-SUM($K$3:K95),0)</f>
        <v>741666.6666666664</v>
      </c>
      <c r="N95" s="2">
        <v>4.9000000000000004</v>
      </c>
      <c r="O95" s="1">
        <f t="shared" si="15"/>
        <v>6.125</v>
      </c>
      <c r="P95" s="1">
        <f t="shared" si="16"/>
        <v>5.1041666666666666E-3</v>
      </c>
      <c r="Q95" s="1">
        <f t="shared" si="17"/>
        <v>6.2515313091616163</v>
      </c>
    </row>
    <row r="96" spans="5:17" x14ac:dyDescent="0.2">
      <c r="E96" s="1">
        <v>94</v>
      </c>
      <c r="F96" s="4">
        <f t="shared" si="9"/>
        <v>6076.105395806896</v>
      </c>
      <c r="G96" s="4">
        <f t="shared" si="10"/>
        <v>1560.5177420389957</v>
      </c>
      <c r="H96" s="4">
        <f t="shared" si="11"/>
        <v>4515.5876537679005</v>
      </c>
      <c r="I96" s="4">
        <f>IF($B$2-SUM($G$3:G96)&lt; 0.001,0,$B$2-SUM($G$3:G96))</f>
        <v>883126.04299616301</v>
      </c>
      <c r="J96" s="5">
        <f t="shared" si="12"/>
        <v>6563.3680555555547</v>
      </c>
      <c r="K96" s="5">
        <f t="shared" si="13"/>
        <v>2777.7777777777778</v>
      </c>
      <c r="L96" s="5">
        <f t="shared" si="14"/>
        <v>3785.5902777777765</v>
      </c>
      <c r="M96" s="5">
        <f>IF(E96&lt;=$B$3,$B$2-SUM($K$3:K96),0)</f>
        <v>738888.88888888864</v>
      </c>
      <c r="N96" s="2">
        <v>4.9000000000000004</v>
      </c>
      <c r="O96" s="1">
        <f t="shared" si="15"/>
        <v>6.125</v>
      </c>
      <c r="P96" s="1">
        <f t="shared" si="16"/>
        <v>5.1041666666666666E-3</v>
      </c>
      <c r="Q96" s="1">
        <f t="shared" si="17"/>
        <v>6.2515313091616163</v>
      </c>
    </row>
    <row r="97" spans="5:17" x14ac:dyDescent="0.2">
      <c r="E97" s="1">
        <v>95</v>
      </c>
      <c r="F97" s="4">
        <f t="shared" si="9"/>
        <v>6076.105395806896</v>
      </c>
      <c r="G97" s="4">
        <f t="shared" si="10"/>
        <v>1568.4828846806533</v>
      </c>
      <c r="H97" s="4">
        <f t="shared" si="11"/>
        <v>4507.6225111262429</v>
      </c>
      <c r="I97" s="4">
        <f>IF($B$2-SUM($G$3:G97)&lt; 0.001,0,$B$2-SUM($G$3:G97))</f>
        <v>881557.56011148239</v>
      </c>
      <c r="J97" s="5">
        <f t="shared" si="12"/>
        <v>6549.1898148148148</v>
      </c>
      <c r="K97" s="5">
        <f t="shared" si="13"/>
        <v>2777.7777777777778</v>
      </c>
      <c r="L97" s="5">
        <f t="shared" si="14"/>
        <v>3771.4120370370356</v>
      </c>
      <c r="M97" s="5">
        <f>IF(E97&lt;=$B$3,$B$2-SUM($K$3:K97),0)</f>
        <v>736111.11111111089</v>
      </c>
      <c r="N97" s="2">
        <v>4.9000000000000004</v>
      </c>
      <c r="O97" s="1">
        <f t="shared" si="15"/>
        <v>6.125</v>
      </c>
      <c r="P97" s="1">
        <f t="shared" si="16"/>
        <v>5.1041666666666666E-3</v>
      </c>
      <c r="Q97" s="1">
        <f t="shared" si="17"/>
        <v>6.2515313091616163</v>
      </c>
    </row>
    <row r="98" spans="5:17" x14ac:dyDescent="0.2">
      <c r="E98" s="1">
        <v>96</v>
      </c>
      <c r="F98" s="4">
        <f t="shared" si="9"/>
        <v>6076.105395806896</v>
      </c>
      <c r="G98" s="4">
        <f t="shared" si="10"/>
        <v>1576.488682737878</v>
      </c>
      <c r="H98" s="4">
        <f t="shared" si="11"/>
        <v>4499.6167130690192</v>
      </c>
      <c r="I98" s="4">
        <f>IF($B$2-SUM($G$3:G98)&lt; 0.001,0,$B$2-SUM($G$3:G98))</f>
        <v>879981.07142874459</v>
      </c>
      <c r="J98" s="5">
        <f t="shared" si="12"/>
        <v>6535.0115740740739</v>
      </c>
      <c r="K98" s="5">
        <f t="shared" si="13"/>
        <v>2777.7777777777778</v>
      </c>
      <c r="L98" s="5">
        <f t="shared" si="14"/>
        <v>3757.2337962962952</v>
      </c>
      <c r="M98" s="5">
        <f>IF(E98&lt;=$B$3,$B$2-SUM($K$3:K98),0)</f>
        <v>733333.33333333314</v>
      </c>
      <c r="N98" s="2">
        <v>4.9000000000000004</v>
      </c>
      <c r="O98" s="1">
        <f t="shared" si="15"/>
        <v>6.125</v>
      </c>
      <c r="P98" s="1">
        <f t="shared" si="16"/>
        <v>5.1041666666666666E-3</v>
      </c>
      <c r="Q98" s="1">
        <f t="shared" si="17"/>
        <v>6.2515313091616163</v>
      </c>
    </row>
    <row r="99" spans="5:17" x14ac:dyDescent="0.2">
      <c r="E99" s="1">
        <v>97</v>
      </c>
      <c r="F99" s="4">
        <f t="shared" si="9"/>
        <v>6076.105395806896</v>
      </c>
      <c r="G99" s="4">
        <f t="shared" si="10"/>
        <v>1584.5353437226856</v>
      </c>
      <c r="H99" s="4">
        <f t="shared" si="11"/>
        <v>4491.5700520842101</v>
      </c>
      <c r="I99" s="4">
        <f>IF($B$2-SUM($G$3:G99)&lt; 0.001,0,$B$2-SUM($G$3:G99))</f>
        <v>878396.53608502191</v>
      </c>
      <c r="J99" s="5">
        <f t="shared" si="12"/>
        <v>6520.833333333333</v>
      </c>
      <c r="K99" s="5">
        <f t="shared" si="13"/>
        <v>2777.7777777777778</v>
      </c>
      <c r="L99" s="5">
        <f t="shared" si="14"/>
        <v>3743.0555555555543</v>
      </c>
      <c r="M99" s="5">
        <f>IF(E99&lt;=$B$3,$B$2-SUM($K$3:K99),0)</f>
        <v>730555.55555555539</v>
      </c>
      <c r="N99" s="2">
        <v>4.9000000000000004</v>
      </c>
      <c r="O99" s="1">
        <f t="shared" si="15"/>
        <v>6.125</v>
      </c>
      <c r="P99" s="1">
        <f t="shared" si="16"/>
        <v>5.1041666666666666E-3</v>
      </c>
      <c r="Q99" s="1">
        <f t="shared" si="17"/>
        <v>6.2515313091616163</v>
      </c>
    </row>
    <row r="100" spans="5:17" x14ac:dyDescent="0.2">
      <c r="E100" s="1">
        <v>98</v>
      </c>
      <c r="F100" s="4">
        <f t="shared" si="9"/>
        <v>6076.105395806896</v>
      </c>
      <c r="G100" s="4">
        <f t="shared" si="10"/>
        <v>1592.6230762062698</v>
      </c>
      <c r="H100" s="4">
        <f t="shared" si="11"/>
        <v>4483.4823196006264</v>
      </c>
      <c r="I100" s="4">
        <f>IF($B$2-SUM($G$3:G100)&lt; 0.001,0,$B$2-SUM($G$3:G100))</f>
        <v>876803.91300881561</v>
      </c>
      <c r="J100" s="5">
        <f t="shared" si="12"/>
        <v>6506.6550925925922</v>
      </c>
      <c r="K100" s="5">
        <f t="shared" si="13"/>
        <v>2777.7777777777778</v>
      </c>
      <c r="L100" s="5">
        <f t="shared" si="14"/>
        <v>3728.8773148148139</v>
      </c>
      <c r="M100" s="5">
        <f>IF(E100&lt;=$B$3,$B$2-SUM($K$3:K100),0)</f>
        <v>727777.77777777764</v>
      </c>
      <c r="N100" s="2">
        <v>4.9000000000000004</v>
      </c>
      <c r="O100" s="1">
        <f t="shared" si="15"/>
        <v>6.125</v>
      </c>
      <c r="P100" s="1">
        <f t="shared" si="16"/>
        <v>5.1041666666666666E-3</v>
      </c>
      <c r="Q100" s="1">
        <f t="shared" si="17"/>
        <v>6.2515313091616163</v>
      </c>
    </row>
    <row r="101" spans="5:17" x14ac:dyDescent="0.2">
      <c r="E101" s="1">
        <v>99</v>
      </c>
      <c r="F101" s="4">
        <f t="shared" si="9"/>
        <v>6076.105395806896</v>
      </c>
      <c r="G101" s="4">
        <f t="shared" si="10"/>
        <v>1600.7520898244063</v>
      </c>
      <c r="H101" s="4">
        <f t="shared" si="11"/>
        <v>4475.3533059824904</v>
      </c>
      <c r="I101" s="4">
        <f>IF($B$2-SUM($G$3:G101)&lt; 0.001,0,$B$2-SUM($G$3:G101))</f>
        <v>875203.1609189912</v>
      </c>
      <c r="J101" s="5">
        <f t="shared" si="12"/>
        <v>6492.4768518518522</v>
      </c>
      <c r="K101" s="5">
        <f t="shared" si="13"/>
        <v>2777.7777777777778</v>
      </c>
      <c r="L101" s="5">
        <f t="shared" si="14"/>
        <v>3714.6990740740735</v>
      </c>
      <c r="M101" s="5">
        <f>IF(E101&lt;=$B$3,$B$2-SUM($K$3:K101),0)</f>
        <v>724999.99999999988</v>
      </c>
      <c r="N101" s="2">
        <v>4.9000000000000004</v>
      </c>
      <c r="O101" s="1">
        <f t="shared" si="15"/>
        <v>6.125</v>
      </c>
      <c r="P101" s="1">
        <f t="shared" si="16"/>
        <v>5.1041666666666666E-3</v>
      </c>
      <c r="Q101" s="1">
        <f t="shared" si="17"/>
        <v>6.2515313091616163</v>
      </c>
    </row>
    <row r="102" spans="5:17" x14ac:dyDescent="0.2">
      <c r="E102" s="1">
        <v>100</v>
      </c>
      <c r="F102" s="4">
        <f t="shared" si="9"/>
        <v>6076.105395806896</v>
      </c>
      <c r="G102" s="4">
        <f t="shared" si="10"/>
        <v>1608.9225952828851</v>
      </c>
      <c r="H102" s="4">
        <f t="shared" si="11"/>
        <v>4467.1828005240113</v>
      </c>
      <c r="I102" s="4">
        <f>IF($B$2-SUM($G$3:G102)&lt; 0.001,0,$B$2-SUM($G$3:G102))</f>
        <v>873594.2383237083</v>
      </c>
      <c r="J102" s="5">
        <f t="shared" si="12"/>
        <v>6478.2986111111113</v>
      </c>
      <c r="K102" s="5">
        <f t="shared" si="13"/>
        <v>2777.7777777777778</v>
      </c>
      <c r="L102" s="5">
        <f t="shared" si="14"/>
        <v>3700.5208333333326</v>
      </c>
      <c r="M102" s="5">
        <f>IF(E102&lt;=$B$3,$B$2-SUM($K$3:K102),0)</f>
        <v>722222.22222222213</v>
      </c>
      <c r="N102" s="2">
        <v>4.9000000000000004</v>
      </c>
      <c r="O102" s="1">
        <f t="shared" si="15"/>
        <v>6.125</v>
      </c>
      <c r="P102" s="1">
        <f t="shared" si="16"/>
        <v>5.1041666666666666E-3</v>
      </c>
      <c r="Q102" s="1">
        <f t="shared" si="17"/>
        <v>6.2515313091616163</v>
      </c>
    </row>
    <row r="103" spans="5:17" x14ac:dyDescent="0.2">
      <c r="E103" s="1">
        <v>101</v>
      </c>
      <c r="F103" s="4">
        <f t="shared" si="9"/>
        <v>6076.105395806896</v>
      </c>
      <c r="G103" s="4">
        <f t="shared" si="10"/>
        <v>1617.1348043629746</v>
      </c>
      <c r="H103" s="4">
        <f t="shared" si="11"/>
        <v>4458.9705914439219</v>
      </c>
      <c r="I103" s="4">
        <f>IF($B$2-SUM($G$3:G103)&lt; 0.001,0,$B$2-SUM($G$3:G103))</f>
        <v>871977.10351934528</v>
      </c>
      <c r="J103" s="5">
        <f t="shared" si="12"/>
        <v>6464.1203703703704</v>
      </c>
      <c r="K103" s="5">
        <f t="shared" si="13"/>
        <v>2777.7777777777778</v>
      </c>
      <c r="L103" s="5">
        <f t="shared" si="14"/>
        <v>3686.3425925925922</v>
      </c>
      <c r="M103" s="5">
        <f>IF(E103&lt;=$B$3,$B$2-SUM($K$3:K103),0)</f>
        <v>719444.44444444438</v>
      </c>
      <c r="N103" s="2">
        <v>4.9000000000000004</v>
      </c>
      <c r="O103" s="1">
        <f t="shared" si="15"/>
        <v>6.125</v>
      </c>
      <c r="P103" s="1">
        <f t="shared" si="16"/>
        <v>5.1041666666666666E-3</v>
      </c>
      <c r="Q103" s="1">
        <f t="shared" si="17"/>
        <v>6.2515313091616163</v>
      </c>
    </row>
    <row r="104" spans="5:17" x14ac:dyDescent="0.2">
      <c r="E104" s="1">
        <v>102</v>
      </c>
      <c r="F104" s="4">
        <f t="shared" si="9"/>
        <v>6076.105395806896</v>
      </c>
      <c r="G104" s="4">
        <f t="shared" si="10"/>
        <v>1625.388929926911</v>
      </c>
      <c r="H104" s="4">
        <f t="shared" si="11"/>
        <v>4450.7164658799848</v>
      </c>
      <c r="I104" s="4">
        <f>IF($B$2-SUM($G$3:G104)&lt; 0.001,0,$B$2-SUM($G$3:G104))</f>
        <v>870351.71458941838</v>
      </c>
      <c r="J104" s="5">
        <f t="shared" si="12"/>
        <v>6449.9421296296296</v>
      </c>
      <c r="K104" s="5">
        <f t="shared" si="13"/>
        <v>2777.7777777777778</v>
      </c>
      <c r="L104" s="5">
        <f t="shared" si="14"/>
        <v>3672.1643518518513</v>
      </c>
      <c r="M104" s="5">
        <f>IF(E104&lt;=$B$3,$B$2-SUM($K$3:K104),0)</f>
        <v>716666.66666666663</v>
      </c>
      <c r="N104" s="2">
        <v>4.9000000000000004</v>
      </c>
      <c r="O104" s="1">
        <f t="shared" si="15"/>
        <v>6.125</v>
      </c>
      <c r="P104" s="1">
        <f t="shared" si="16"/>
        <v>5.1041666666666666E-3</v>
      </c>
      <c r="Q104" s="1">
        <f t="shared" si="17"/>
        <v>6.2515313091616163</v>
      </c>
    </row>
    <row r="105" spans="5:17" x14ac:dyDescent="0.2">
      <c r="E105" s="1">
        <v>103</v>
      </c>
      <c r="F105" s="4">
        <f t="shared" si="9"/>
        <v>6076.105395806896</v>
      </c>
      <c r="G105" s="4">
        <f t="shared" si="10"/>
        <v>1633.6851859234132</v>
      </c>
      <c r="H105" s="4">
        <f t="shared" si="11"/>
        <v>4442.420209883483</v>
      </c>
      <c r="I105" s="4">
        <f>IF($B$2-SUM($G$3:G105)&lt; 0.001,0,$B$2-SUM($G$3:G105))</f>
        <v>868718.02940349502</v>
      </c>
      <c r="J105" s="5">
        <f t="shared" si="12"/>
        <v>6435.7638888888887</v>
      </c>
      <c r="K105" s="5">
        <f t="shared" si="13"/>
        <v>2777.7777777777778</v>
      </c>
      <c r="L105" s="5">
        <f t="shared" si="14"/>
        <v>3657.9861111111109</v>
      </c>
      <c r="M105" s="5">
        <f>IF(E105&lt;=$B$3,$B$2-SUM($K$3:K105),0)</f>
        <v>713888.88888888888</v>
      </c>
      <c r="N105" s="2">
        <v>4.9000000000000004</v>
      </c>
      <c r="O105" s="1">
        <f t="shared" si="15"/>
        <v>6.125</v>
      </c>
      <c r="P105" s="1">
        <f t="shared" si="16"/>
        <v>5.1041666666666666E-3</v>
      </c>
      <c r="Q105" s="1">
        <f t="shared" si="17"/>
        <v>6.2515313091616163</v>
      </c>
    </row>
    <row r="106" spans="5:17" x14ac:dyDescent="0.2">
      <c r="E106" s="1">
        <v>104</v>
      </c>
      <c r="F106" s="4">
        <f t="shared" si="9"/>
        <v>6076.105395806896</v>
      </c>
      <c r="G106" s="4">
        <f t="shared" si="10"/>
        <v>1642.0237873932308</v>
      </c>
      <c r="H106" s="4">
        <f t="shared" si="11"/>
        <v>4434.0816084136659</v>
      </c>
      <c r="I106" s="4">
        <f>IF($B$2-SUM($G$3:G106)&lt; 0.001,0,$B$2-SUM($G$3:G106))</f>
        <v>867076.00561610179</v>
      </c>
      <c r="J106" s="5">
        <f t="shared" si="12"/>
        <v>6421.5856481481478</v>
      </c>
      <c r="K106" s="5">
        <f t="shared" si="13"/>
        <v>2777.7777777777778</v>
      </c>
      <c r="L106" s="5">
        <f t="shared" si="14"/>
        <v>3643.8078703703704</v>
      </c>
      <c r="M106" s="5">
        <f>IF(E106&lt;=$B$3,$B$2-SUM($K$3:K106),0)</f>
        <v>711111.11111111112</v>
      </c>
      <c r="N106" s="2">
        <v>4.9000000000000004</v>
      </c>
      <c r="O106" s="1">
        <f t="shared" si="15"/>
        <v>6.125</v>
      </c>
      <c r="P106" s="1">
        <f t="shared" si="16"/>
        <v>5.1041666666666666E-3</v>
      </c>
      <c r="Q106" s="1">
        <f t="shared" si="17"/>
        <v>6.2515313091616163</v>
      </c>
    </row>
    <row r="107" spans="5:17" x14ac:dyDescent="0.2">
      <c r="E107" s="1">
        <v>105</v>
      </c>
      <c r="F107" s="4">
        <f t="shared" si="9"/>
        <v>6076.105395806896</v>
      </c>
      <c r="G107" s="4">
        <f t="shared" si="10"/>
        <v>1650.404950474717</v>
      </c>
      <c r="H107" s="4">
        <f t="shared" si="11"/>
        <v>4425.7004453321797</v>
      </c>
      <c r="I107" s="4">
        <f>IF($B$2-SUM($G$3:G107)&lt; 0.001,0,$B$2-SUM($G$3:G107))</f>
        <v>865425.60066562705</v>
      </c>
      <c r="J107" s="5">
        <f t="shared" si="12"/>
        <v>6407.4074074074069</v>
      </c>
      <c r="K107" s="5">
        <f t="shared" si="13"/>
        <v>2777.7777777777778</v>
      </c>
      <c r="L107" s="5">
        <f t="shared" si="14"/>
        <v>3629.6296296296296</v>
      </c>
      <c r="M107" s="5">
        <f>IF(E107&lt;=$B$3,$B$2-SUM($K$3:K107),0)</f>
        <v>708333.33333333337</v>
      </c>
      <c r="N107" s="2">
        <v>4.9000000000000004</v>
      </c>
      <c r="O107" s="1">
        <f t="shared" si="15"/>
        <v>6.125</v>
      </c>
      <c r="P107" s="1">
        <f t="shared" si="16"/>
        <v>5.1041666666666666E-3</v>
      </c>
      <c r="Q107" s="1">
        <f t="shared" si="17"/>
        <v>6.2515313091616163</v>
      </c>
    </row>
    <row r="108" spans="5:17" x14ac:dyDescent="0.2">
      <c r="E108" s="1">
        <v>106</v>
      </c>
      <c r="F108" s="4">
        <f t="shared" si="9"/>
        <v>6076.105395806896</v>
      </c>
      <c r="G108" s="4">
        <f t="shared" si="10"/>
        <v>1658.8288924094318</v>
      </c>
      <c r="H108" s="4">
        <f t="shared" si="11"/>
        <v>4417.2765033974647</v>
      </c>
      <c r="I108" s="4">
        <f>IF($B$2-SUM($G$3:G108)&lt; 0.001,0,$B$2-SUM($G$3:G108))</f>
        <v>863766.7717732176</v>
      </c>
      <c r="J108" s="5">
        <f t="shared" si="12"/>
        <v>6393.2291666666661</v>
      </c>
      <c r="K108" s="5">
        <f t="shared" si="13"/>
        <v>2777.7777777777778</v>
      </c>
      <c r="L108" s="5">
        <f t="shared" si="14"/>
        <v>3615.4513888888891</v>
      </c>
      <c r="M108" s="5">
        <f>IF(E108&lt;=$B$3,$B$2-SUM($K$3:K108),0)</f>
        <v>705555.55555555562</v>
      </c>
      <c r="N108" s="2">
        <v>4.9000000000000004</v>
      </c>
      <c r="O108" s="1">
        <f t="shared" si="15"/>
        <v>6.125</v>
      </c>
      <c r="P108" s="1">
        <f t="shared" si="16"/>
        <v>5.1041666666666666E-3</v>
      </c>
      <c r="Q108" s="1">
        <f t="shared" si="17"/>
        <v>6.2515313091616163</v>
      </c>
    </row>
    <row r="109" spans="5:17" x14ac:dyDescent="0.2">
      <c r="E109" s="1">
        <v>107</v>
      </c>
      <c r="F109" s="4">
        <f t="shared" si="9"/>
        <v>6076.105395806896</v>
      </c>
      <c r="G109" s="4">
        <f t="shared" si="10"/>
        <v>1667.2958315477717</v>
      </c>
      <c r="H109" s="4">
        <f t="shared" si="11"/>
        <v>4408.8095642591243</v>
      </c>
      <c r="I109" s="4">
        <f>IF($B$2-SUM($G$3:G109)&lt; 0.001,0,$B$2-SUM($G$3:G109))</f>
        <v>862099.47594166989</v>
      </c>
      <c r="J109" s="5">
        <f t="shared" si="12"/>
        <v>6379.0509259259252</v>
      </c>
      <c r="K109" s="5">
        <f t="shared" si="13"/>
        <v>2777.7777777777778</v>
      </c>
      <c r="L109" s="5">
        <f t="shared" si="14"/>
        <v>3601.2731481481483</v>
      </c>
      <c r="M109" s="5">
        <f>IF(E109&lt;=$B$3,$B$2-SUM($K$3:K109),0)</f>
        <v>702777.77777777787</v>
      </c>
      <c r="N109" s="2">
        <v>4.9000000000000004</v>
      </c>
      <c r="O109" s="1">
        <f t="shared" si="15"/>
        <v>6.125</v>
      </c>
      <c r="P109" s="1">
        <f t="shared" si="16"/>
        <v>5.1041666666666666E-3</v>
      </c>
      <c r="Q109" s="1">
        <f t="shared" si="17"/>
        <v>6.2515313091616163</v>
      </c>
    </row>
    <row r="110" spans="5:17" x14ac:dyDescent="0.2">
      <c r="E110" s="1">
        <v>108</v>
      </c>
      <c r="F110" s="4">
        <f t="shared" si="9"/>
        <v>6076.105395806896</v>
      </c>
      <c r="G110" s="4">
        <f t="shared" si="10"/>
        <v>1675.8059873546304</v>
      </c>
      <c r="H110" s="4">
        <f t="shared" si="11"/>
        <v>4400.2994084522661</v>
      </c>
      <c r="I110" s="4">
        <f>IF($B$2-SUM($G$3:G110)&lt; 0.001,0,$B$2-SUM($G$3:G110))</f>
        <v>860423.66995431529</v>
      </c>
      <c r="J110" s="5">
        <f t="shared" si="12"/>
        <v>6364.8726851851852</v>
      </c>
      <c r="K110" s="5">
        <f t="shared" si="13"/>
        <v>2777.7777777777778</v>
      </c>
      <c r="L110" s="5">
        <f t="shared" si="14"/>
        <v>3587.0949074074078</v>
      </c>
      <c r="M110" s="5">
        <f>IF(E110&lt;=$B$3,$B$2-SUM($K$3:K110),0)</f>
        <v>700000.00000000012</v>
      </c>
      <c r="N110" s="2">
        <v>4.9000000000000004</v>
      </c>
      <c r="O110" s="1">
        <f t="shared" si="15"/>
        <v>6.125</v>
      </c>
      <c r="P110" s="1">
        <f t="shared" si="16"/>
        <v>5.1041666666666666E-3</v>
      </c>
      <c r="Q110" s="1">
        <f t="shared" si="17"/>
        <v>6.2515313091616163</v>
      </c>
    </row>
    <row r="111" spans="5:17" x14ac:dyDescent="0.2">
      <c r="E111" s="1">
        <v>109</v>
      </c>
      <c r="F111" s="4">
        <f t="shared" si="9"/>
        <v>6076.105395806896</v>
      </c>
      <c r="G111" s="4">
        <f t="shared" si="10"/>
        <v>1684.3595804150862</v>
      </c>
      <c r="H111" s="4">
        <f t="shared" si="11"/>
        <v>4391.7458153918096</v>
      </c>
      <c r="I111" s="4">
        <f>IF($B$2-SUM($G$3:G111)&lt; 0.001,0,$B$2-SUM($G$3:G111))</f>
        <v>858739.31037390011</v>
      </c>
      <c r="J111" s="5">
        <f t="shared" si="12"/>
        <v>6350.6944444444443</v>
      </c>
      <c r="K111" s="5">
        <f t="shared" si="13"/>
        <v>2777.7777777777778</v>
      </c>
      <c r="L111" s="5">
        <f t="shared" si="14"/>
        <v>3572.916666666667</v>
      </c>
      <c r="M111" s="5">
        <f>IF(E111&lt;=$B$3,$B$2-SUM($K$3:K111),0)</f>
        <v>697222.22222222236</v>
      </c>
      <c r="N111" s="2">
        <v>4.9000000000000004</v>
      </c>
      <c r="O111" s="1">
        <f t="shared" si="15"/>
        <v>6.125</v>
      </c>
      <c r="P111" s="1">
        <f t="shared" si="16"/>
        <v>5.1041666666666666E-3</v>
      </c>
      <c r="Q111" s="1">
        <f t="shared" si="17"/>
        <v>6.2515313091616163</v>
      </c>
    </row>
    <row r="112" spans="5:17" x14ac:dyDescent="0.2">
      <c r="E112" s="1">
        <v>110</v>
      </c>
      <c r="F112" s="4">
        <f t="shared" si="9"/>
        <v>6076.105395806896</v>
      </c>
      <c r="G112" s="4">
        <f t="shared" si="10"/>
        <v>1692.9568324401214</v>
      </c>
      <c r="H112" s="4">
        <f t="shared" si="11"/>
        <v>4383.1485633667753</v>
      </c>
      <c r="I112" s="4">
        <f>IF($B$2-SUM($G$3:G112)&lt; 0.001,0,$B$2-SUM($G$3:G112))</f>
        <v>857046.35354146</v>
      </c>
      <c r="J112" s="5">
        <f t="shared" si="12"/>
        <v>6336.5162037037044</v>
      </c>
      <c r="K112" s="5">
        <f t="shared" si="13"/>
        <v>2777.7777777777778</v>
      </c>
      <c r="L112" s="5">
        <f t="shared" si="14"/>
        <v>3558.7384259259265</v>
      </c>
      <c r="M112" s="5">
        <f>IF(E112&lt;=$B$3,$B$2-SUM($K$3:K112),0)</f>
        <v>694444.44444444461</v>
      </c>
      <c r="N112" s="2">
        <v>4.9000000000000004</v>
      </c>
      <c r="O112" s="1">
        <f t="shared" si="15"/>
        <v>6.125</v>
      </c>
      <c r="P112" s="1">
        <f t="shared" si="16"/>
        <v>5.1041666666666666E-3</v>
      </c>
      <c r="Q112" s="1">
        <f t="shared" si="17"/>
        <v>6.2515313091616163</v>
      </c>
    </row>
    <row r="113" spans="5:17" x14ac:dyDescent="0.2">
      <c r="E113" s="1">
        <v>111</v>
      </c>
      <c r="F113" s="4">
        <f t="shared" si="9"/>
        <v>6076.105395806896</v>
      </c>
      <c r="G113" s="4">
        <f t="shared" si="10"/>
        <v>1701.5979662723685</v>
      </c>
      <c r="H113" s="4">
        <f t="shared" si="11"/>
        <v>4374.5074295345275</v>
      </c>
      <c r="I113" s="4">
        <f>IF($B$2-SUM($G$3:G113)&lt; 0.001,0,$B$2-SUM($G$3:G113))</f>
        <v>855344.75557518762</v>
      </c>
      <c r="J113" s="5">
        <f t="shared" si="12"/>
        <v>6322.3379629629635</v>
      </c>
      <c r="K113" s="5">
        <f t="shared" si="13"/>
        <v>2777.7777777777778</v>
      </c>
      <c r="L113" s="5">
        <f t="shared" si="14"/>
        <v>3544.5601851851861</v>
      </c>
      <c r="M113" s="5">
        <f>IF(E113&lt;=$B$3,$B$2-SUM($K$3:K113),0)</f>
        <v>691666.66666666686</v>
      </c>
      <c r="N113" s="2">
        <v>4.9000000000000004</v>
      </c>
      <c r="O113" s="1">
        <f t="shared" si="15"/>
        <v>6.125</v>
      </c>
      <c r="P113" s="1">
        <f t="shared" si="16"/>
        <v>5.1041666666666666E-3</v>
      </c>
      <c r="Q113" s="1">
        <f t="shared" si="17"/>
        <v>6.2515313091616163</v>
      </c>
    </row>
    <row r="114" spans="5:17" x14ac:dyDescent="0.2">
      <c r="E114" s="1">
        <v>112</v>
      </c>
      <c r="F114" s="4">
        <f t="shared" si="9"/>
        <v>6076.105395806896</v>
      </c>
      <c r="G114" s="4">
        <f t="shared" si="10"/>
        <v>1710.2832058918837</v>
      </c>
      <c r="H114" s="4">
        <f t="shared" si="11"/>
        <v>4365.822189915013</v>
      </c>
      <c r="I114" s="4">
        <f>IF($B$2-SUM($G$3:G114)&lt; 0.001,0,$B$2-SUM($G$3:G114))</f>
        <v>853634.47236929578</v>
      </c>
      <c r="J114" s="5">
        <f t="shared" si="12"/>
        <v>6308.1597222222226</v>
      </c>
      <c r="K114" s="5">
        <f t="shared" si="13"/>
        <v>2777.7777777777778</v>
      </c>
      <c r="L114" s="5">
        <f t="shared" si="14"/>
        <v>3530.3819444444453</v>
      </c>
      <c r="M114" s="5">
        <f>IF(E114&lt;=$B$3,$B$2-SUM($K$3:K114),0)</f>
        <v>688888.88888888911</v>
      </c>
      <c r="N114" s="2">
        <v>4.9000000000000004</v>
      </c>
      <c r="O114" s="1">
        <f t="shared" si="15"/>
        <v>6.125</v>
      </c>
      <c r="P114" s="1">
        <f t="shared" si="16"/>
        <v>5.1041666666666666E-3</v>
      </c>
      <c r="Q114" s="1">
        <f t="shared" si="17"/>
        <v>6.2515313091616163</v>
      </c>
    </row>
    <row r="115" spans="5:17" x14ac:dyDescent="0.2">
      <c r="E115" s="1">
        <v>113</v>
      </c>
      <c r="F115" s="4">
        <f t="shared" si="9"/>
        <v>6076.105395806896</v>
      </c>
      <c r="G115" s="4">
        <f t="shared" si="10"/>
        <v>1719.0127764219567</v>
      </c>
      <c r="H115" s="4">
        <f t="shared" si="11"/>
        <v>4357.09261938494</v>
      </c>
      <c r="I115" s="4">
        <f>IF($B$2-SUM($G$3:G115)&lt; 0.001,0,$B$2-SUM($G$3:G115))</f>
        <v>851915.45959287381</v>
      </c>
      <c r="J115" s="5">
        <f t="shared" si="12"/>
        <v>6293.9814814814818</v>
      </c>
      <c r="K115" s="5">
        <f t="shared" si="13"/>
        <v>2777.7777777777778</v>
      </c>
      <c r="L115" s="5">
        <f t="shared" si="14"/>
        <v>3516.2037037037048</v>
      </c>
      <c r="M115" s="5">
        <f>IF(E115&lt;=$B$3,$B$2-SUM($K$3:K115),0)</f>
        <v>686111.11111111136</v>
      </c>
      <c r="N115" s="2">
        <v>4.9000000000000004</v>
      </c>
      <c r="O115" s="1">
        <f t="shared" si="15"/>
        <v>6.125</v>
      </c>
      <c r="P115" s="1">
        <f t="shared" si="16"/>
        <v>5.1041666666666666E-3</v>
      </c>
      <c r="Q115" s="1">
        <f t="shared" si="17"/>
        <v>6.2515313091616163</v>
      </c>
    </row>
    <row r="116" spans="5:17" x14ac:dyDescent="0.2">
      <c r="E116" s="1">
        <v>114</v>
      </c>
      <c r="F116" s="4">
        <f t="shared" si="9"/>
        <v>6076.105395806896</v>
      </c>
      <c r="G116" s="4">
        <f t="shared" si="10"/>
        <v>1727.7869041349434</v>
      </c>
      <c r="H116" s="4">
        <f t="shared" si="11"/>
        <v>4348.3184916719538</v>
      </c>
      <c r="I116" s="4">
        <f>IF($B$2-SUM($G$3:G116)&lt; 0.001,0,$B$2-SUM($G$3:G116))</f>
        <v>850187.67268873891</v>
      </c>
      <c r="J116" s="5">
        <f t="shared" si="12"/>
        <v>6279.8032407407409</v>
      </c>
      <c r="K116" s="5">
        <f t="shared" si="13"/>
        <v>2777.7777777777778</v>
      </c>
      <c r="L116" s="5">
        <f t="shared" si="14"/>
        <v>3502.025462962964</v>
      </c>
      <c r="M116" s="5">
        <f>IF(E116&lt;=$B$3,$B$2-SUM($K$3:K116),0)</f>
        <v>683333.3333333336</v>
      </c>
      <c r="N116" s="2">
        <v>4.9000000000000004</v>
      </c>
      <c r="O116" s="1">
        <f t="shared" si="15"/>
        <v>6.125</v>
      </c>
      <c r="P116" s="1">
        <f t="shared" si="16"/>
        <v>5.1041666666666666E-3</v>
      </c>
      <c r="Q116" s="1">
        <f t="shared" si="17"/>
        <v>6.2515313091616163</v>
      </c>
    </row>
    <row r="117" spans="5:17" x14ac:dyDescent="0.2">
      <c r="E117" s="1">
        <v>115</v>
      </c>
      <c r="F117" s="4">
        <f t="shared" si="9"/>
        <v>6076.105395806896</v>
      </c>
      <c r="G117" s="4">
        <f t="shared" si="10"/>
        <v>1736.6058164581325</v>
      </c>
      <c r="H117" s="4">
        <f t="shared" si="11"/>
        <v>4339.4995793487642</v>
      </c>
      <c r="I117" s="4">
        <f>IF($B$2-SUM($G$3:G117)&lt; 0.001,0,$B$2-SUM($G$3:G117))</f>
        <v>848451.06687228079</v>
      </c>
      <c r="J117" s="5">
        <f t="shared" si="12"/>
        <v>6265.625</v>
      </c>
      <c r="K117" s="5">
        <f t="shared" si="13"/>
        <v>2777.7777777777778</v>
      </c>
      <c r="L117" s="5">
        <f t="shared" si="14"/>
        <v>3487.8472222222235</v>
      </c>
      <c r="M117" s="5">
        <f>IF(E117&lt;=$B$3,$B$2-SUM($K$3:K117),0)</f>
        <v>680555.55555555585</v>
      </c>
      <c r="N117" s="2">
        <v>4.9000000000000004</v>
      </c>
      <c r="O117" s="1">
        <f t="shared" si="15"/>
        <v>6.125</v>
      </c>
      <c r="P117" s="1">
        <f t="shared" si="16"/>
        <v>5.1041666666666666E-3</v>
      </c>
      <c r="Q117" s="1">
        <f t="shared" si="17"/>
        <v>6.2515313091616163</v>
      </c>
    </row>
    <row r="118" spans="5:17" x14ac:dyDescent="0.2">
      <c r="E118" s="1">
        <v>116</v>
      </c>
      <c r="F118" s="4">
        <f t="shared" si="9"/>
        <v>6076.105395806896</v>
      </c>
      <c r="G118" s="4">
        <f t="shared" si="10"/>
        <v>1745.4697419796375</v>
      </c>
      <c r="H118" s="4">
        <f t="shared" si="11"/>
        <v>4330.6356538272594</v>
      </c>
      <c r="I118" s="4">
        <f>IF($B$2-SUM($G$3:G118)&lt; 0.001,0,$B$2-SUM($G$3:G118))</f>
        <v>846705.59713030118</v>
      </c>
      <c r="J118" s="5">
        <f t="shared" si="12"/>
        <v>6251.4467592592591</v>
      </c>
      <c r="K118" s="5">
        <f t="shared" si="13"/>
        <v>2777.7777777777778</v>
      </c>
      <c r="L118" s="5">
        <f t="shared" si="14"/>
        <v>3473.6689814814831</v>
      </c>
      <c r="M118" s="5">
        <f>IF(E118&lt;=$B$3,$B$2-SUM($K$3:K118),0)</f>
        <v>677777.7777777781</v>
      </c>
      <c r="N118" s="2">
        <v>4.9000000000000004</v>
      </c>
      <c r="O118" s="1">
        <f t="shared" si="15"/>
        <v>6.125</v>
      </c>
      <c r="P118" s="1">
        <f t="shared" si="16"/>
        <v>5.1041666666666666E-3</v>
      </c>
      <c r="Q118" s="1">
        <f t="shared" si="17"/>
        <v>6.2515313091616163</v>
      </c>
    </row>
    <row r="119" spans="5:17" x14ac:dyDescent="0.2">
      <c r="E119" s="1">
        <v>117</v>
      </c>
      <c r="F119" s="4">
        <f t="shared" si="9"/>
        <v>6076.105395806896</v>
      </c>
      <c r="G119" s="4">
        <f t="shared" si="10"/>
        <v>1754.3789104543255</v>
      </c>
      <c r="H119" s="4">
        <f t="shared" si="11"/>
        <v>4321.7264853525703</v>
      </c>
      <c r="I119" s="4">
        <f>IF($B$2-SUM($G$3:G119)&lt; 0.001,0,$B$2-SUM($G$3:G119))</f>
        <v>844951.21821984672</v>
      </c>
      <c r="J119" s="5">
        <f t="shared" si="12"/>
        <v>6237.2685185185182</v>
      </c>
      <c r="K119" s="5">
        <f t="shared" si="13"/>
        <v>2777.7777777777778</v>
      </c>
      <c r="L119" s="5">
        <f t="shared" si="14"/>
        <v>3459.4907407407422</v>
      </c>
      <c r="M119" s="5">
        <f>IF(E119&lt;=$B$3,$B$2-SUM($K$3:K119),0)</f>
        <v>675000.00000000035</v>
      </c>
      <c r="N119" s="2">
        <v>4.9000000000000004</v>
      </c>
      <c r="O119" s="1">
        <f t="shared" si="15"/>
        <v>6.125</v>
      </c>
      <c r="P119" s="1">
        <f t="shared" si="16"/>
        <v>5.1041666666666666E-3</v>
      </c>
      <c r="Q119" s="1">
        <f t="shared" si="17"/>
        <v>6.2515313091616163</v>
      </c>
    </row>
    <row r="120" spans="5:17" x14ac:dyDescent="0.2">
      <c r="E120" s="1">
        <v>118</v>
      </c>
      <c r="F120" s="4">
        <f t="shared" si="9"/>
        <v>6076.105395806896</v>
      </c>
      <c r="G120" s="4">
        <f t="shared" si="10"/>
        <v>1763.3335528097698</v>
      </c>
      <c r="H120" s="4">
        <f t="shared" si="11"/>
        <v>4312.7718429971264</v>
      </c>
      <c r="I120" s="4">
        <f>IF($B$2-SUM($G$3:G120)&lt; 0.001,0,$B$2-SUM($G$3:G120))</f>
        <v>843187.88466703705</v>
      </c>
      <c r="J120" s="5">
        <f t="shared" si="12"/>
        <v>6223.0902777777774</v>
      </c>
      <c r="K120" s="5">
        <f t="shared" si="13"/>
        <v>2777.7777777777778</v>
      </c>
      <c r="L120" s="5">
        <f t="shared" si="14"/>
        <v>3445.3125000000018</v>
      </c>
      <c r="M120" s="5">
        <f>IF(E120&lt;=$B$3,$B$2-SUM($K$3:K120),0)</f>
        <v>672222.2222222226</v>
      </c>
      <c r="N120" s="2">
        <v>4.9000000000000004</v>
      </c>
      <c r="O120" s="1">
        <f t="shared" si="15"/>
        <v>6.125</v>
      </c>
      <c r="P120" s="1">
        <f t="shared" si="16"/>
        <v>5.1041666666666666E-3</v>
      </c>
      <c r="Q120" s="1">
        <f t="shared" si="17"/>
        <v>6.2515313091616163</v>
      </c>
    </row>
    <row r="121" spans="5:17" x14ac:dyDescent="0.2">
      <c r="E121" s="1">
        <v>119</v>
      </c>
      <c r="F121" s="4">
        <f t="shared" si="9"/>
        <v>6076.105395806896</v>
      </c>
      <c r="G121" s="4">
        <f t="shared" si="10"/>
        <v>1772.3339011522364</v>
      </c>
      <c r="H121" s="4">
        <f t="shared" si="11"/>
        <v>4303.7714946546603</v>
      </c>
      <c r="I121" s="4">
        <f>IF($B$2-SUM($G$3:G121)&lt; 0.001,0,$B$2-SUM($G$3:G121))</f>
        <v>841415.55076588481</v>
      </c>
      <c r="J121" s="5">
        <f t="shared" si="12"/>
        <v>6208.9120370370365</v>
      </c>
      <c r="K121" s="5">
        <f t="shared" si="13"/>
        <v>2777.7777777777778</v>
      </c>
      <c r="L121" s="5">
        <f t="shared" si="14"/>
        <v>3431.1342592592609</v>
      </c>
      <c r="M121" s="5">
        <f>IF(E121&lt;=$B$3,$B$2-SUM($K$3:K121),0)</f>
        <v>669444.44444444485</v>
      </c>
      <c r="N121" s="2">
        <v>4.9000000000000004</v>
      </c>
      <c r="O121" s="1">
        <f t="shared" si="15"/>
        <v>6.125</v>
      </c>
      <c r="P121" s="1">
        <f t="shared" si="16"/>
        <v>5.1041666666666666E-3</v>
      </c>
      <c r="Q121" s="1">
        <f t="shared" si="17"/>
        <v>6.2515313091616163</v>
      </c>
    </row>
    <row r="122" spans="5:17" x14ac:dyDescent="0.2">
      <c r="E122" s="1">
        <v>120</v>
      </c>
      <c r="F122" s="4">
        <f t="shared" si="9"/>
        <v>6076.105395806896</v>
      </c>
      <c r="G122" s="4">
        <f t="shared" si="10"/>
        <v>1781.3801887727009</v>
      </c>
      <c r="H122" s="4">
        <f t="shared" si="11"/>
        <v>4294.7252070341956</v>
      </c>
      <c r="I122" s="4">
        <f>IF($B$2-SUM($G$3:G122)&lt; 0.001,0,$B$2-SUM($G$3:G122))</f>
        <v>839634.17057711212</v>
      </c>
      <c r="J122" s="5">
        <f t="shared" si="12"/>
        <v>6194.7337962962965</v>
      </c>
      <c r="K122" s="5">
        <f t="shared" si="13"/>
        <v>2777.7777777777778</v>
      </c>
      <c r="L122" s="5">
        <f t="shared" si="14"/>
        <v>3416.9560185185205</v>
      </c>
      <c r="M122" s="5">
        <f>IF(E122&lt;=$B$3,$B$2-SUM($K$3:K122),0)</f>
        <v>666666.66666666709</v>
      </c>
      <c r="N122" s="2">
        <v>4.9000000000000004</v>
      </c>
      <c r="O122" s="1">
        <f t="shared" si="15"/>
        <v>6.125</v>
      </c>
      <c r="P122" s="1">
        <f t="shared" si="16"/>
        <v>5.1041666666666666E-3</v>
      </c>
      <c r="Q122" s="1">
        <f t="shared" si="17"/>
        <v>6.2515313091616163</v>
      </c>
    </row>
    <row r="123" spans="5:17" x14ac:dyDescent="0.2">
      <c r="E123" s="1">
        <v>121</v>
      </c>
      <c r="F123" s="4">
        <f t="shared" si="9"/>
        <v>6076.105395806896</v>
      </c>
      <c r="G123" s="4">
        <f t="shared" si="10"/>
        <v>1790.4726501528951</v>
      </c>
      <c r="H123" s="4">
        <f t="shared" si="11"/>
        <v>4285.6327456540021</v>
      </c>
      <c r="I123" s="4">
        <f>IF($B$2-SUM($G$3:G123)&lt; 0.001,0,$B$2-SUM($G$3:G123))</f>
        <v>837843.69792695914</v>
      </c>
      <c r="J123" s="5">
        <f t="shared" si="12"/>
        <v>6180.5555555555566</v>
      </c>
      <c r="K123" s="5">
        <f t="shared" si="13"/>
        <v>2777.7777777777778</v>
      </c>
      <c r="L123" s="5">
        <f t="shared" si="14"/>
        <v>3402.7777777777801</v>
      </c>
      <c r="M123" s="5">
        <f>IF(E123&lt;=$B$3,$B$2-SUM($K$3:K123),0)</f>
        <v>663888.88888888934</v>
      </c>
      <c r="N123" s="2">
        <v>4.9000000000000004</v>
      </c>
      <c r="O123" s="1">
        <f t="shared" si="15"/>
        <v>6.125</v>
      </c>
      <c r="P123" s="1">
        <f t="shared" si="16"/>
        <v>5.1041666666666666E-3</v>
      </c>
      <c r="Q123" s="1">
        <f t="shared" si="17"/>
        <v>6.2515313091616163</v>
      </c>
    </row>
    <row r="124" spans="5:17" x14ac:dyDescent="0.2">
      <c r="E124" s="1">
        <v>122</v>
      </c>
      <c r="F124" s="4">
        <f t="shared" si="9"/>
        <v>6076.105395806896</v>
      </c>
      <c r="G124" s="4">
        <f t="shared" si="10"/>
        <v>1799.6115209713842</v>
      </c>
      <c r="H124" s="4">
        <f t="shared" si="11"/>
        <v>4276.4938748355125</v>
      </c>
      <c r="I124" s="4">
        <f>IF($B$2-SUM($G$3:G124)&lt; 0.001,0,$B$2-SUM($G$3:G124))</f>
        <v>836044.08640598785</v>
      </c>
      <c r="J124" s="5">
        <f t="shared" si="12"/>
        <v>6166.3773148148148</v>
      </c>
      <c r="K124" s="5">
        <f t="shared" si="13"/>
        <v>2777.7777777777778</v>
      </c>
      <c r="L124" s="5">
        <f t="shared" si="14"/>
        <v>3388.5995370370392</v>
      </c>
      <c r="M124" s="5">
        <f>IF(E124&lt;=$B$3,$B$2-SUM($K$3:K124),0)</f>
        <v>661111.11111111159</v>
      </c>
      <c r="N124" s="2">
        <v>4.9000000000000004</v>
      </c>
      <c r="O124" s="1">
        <f t="shared" si="15"/>
        <v>6.125</v>
      </c>
      <c r="P124" s="1">
        <f t="shared" si="16"/>
        <v>5.1041666666666666E-3</v>
      </c>
      <c r="Q124" s="1">
        <f t="shared" si="17"/>
        <v>6.2515313091616163</v>
      </c>
    </row>
    <row r="125" spans="5:17" x14ac:dyDescent="0.2">
      <c r="E125" s="1">
        <v>123</v>
      </c>
      <c r="F125" s="4">
        <f t="shared" si="9"/>
        <v>6076.105395806896</v>
      </c>
      <c r="G125" s="4">
        <f t="shared" si="10"/>
        <v>1808.7970381096752</v>
      </c>
      <c r="H125" s="4">
        <f t="shared" si="11"/>
        <v>4267.3083576972213</v>
      </c>
      <c r="I125" s="4">
        <f>IF($B$2-SUM($G$3:G125)&lt; 0.001,0,$B$2-SUM($G$3:G125))</f>
        <v>834235.28936787811</v>
      </c>
      <c r="J125" s="5">
        <f t="shared" si="12"/>
        <v>6152.1990740740739</v>
      </c>
      <c r="K125" s="5">
        <f t="shared" si="13"/>
        <v>2777.7777777777778</v>
      </c>
      <c r="L125" s="5">
        <f t="shared" si="14"/>
        <v>3374.4212962962988</v>
      </c>
      <c r="M125" s="5">
        <f>IF(E125&lt;=$B$3,$B$2-SUM($K$3:K125),0)</f>
        <v>658333.33333333384</v>
      </c>
      <c r="N125" s="2">
        <v>4.9000000000000004</v>
      </c>
      <c r="O125" s="1">
        <f t="shared" si="15"/>
        <v>6.125</v>
      </c>
      <c r="P125" s="1">
        <f t="shared" si="16"/>
        <v>5.1041666666666666E-3</v>
      </c>
      <c r="Q125" s="1">
        <f t="shared" si="17"/>
        <v>6.2515313091616163</v>
      </c>
    </row>
    <row r="126" spans="5:17" x14ac:dyDescent="0.2">
      <c r="E126" s="1">
        <v>124</v>
      </c>
      <c r="F126" s="4">
        <f t="shared" si="9"/>
        <v>6076.105395806896</v>
      </c>
      <c r="G126" s="4">
        <f t="shared" si="10"/>
        <v>1818.0294396583604</v>
      </c>
      <c r="H126" s="4">
        <f t="shared" si="11"/>
        <v>4258.0759561485356</v>
      </c>
      <c r="I126" s="4">
        <f>IF($B$2-SUM($G$3:G126)&lt; 0.001,0,$B$2-SUM($G$3:G126))</f>
        <v>832417.25992821972</v>
      </c>
      <c r="J126" s="5">
        <f t="shared" si="12"/>
        <v>6138.020833333333</v>
      </c>
      <c r="K126" s="5">
        <f t="shared" si="13"/>
        <v>2777.7777777777778</v>
      </c>
      <c r="L126" s="5">
        <f t="shared" si="14"/>
        <v>3360.2430555555579</v>
      </c>
      <c r="M126" s="5">
        <f>IF(E126&lt;=$B$3,$B$2-SUM($K$3:K126),0)</f>
        <v>655555.55555555609</v>
      </c>
      <c r="N126" s="2">
        <v>4.9000000000000004</v>
      </c>
      <c r="O126" s="1">
        <f t="shared" si="15"/>
        <v>6.125</v>
      </c>
      <c r="P126" s="1">
        <f t="shared" si="16"/>
        <v>5.1041666666666666E-3</v>
      </c>
      <c r="Q126" s="1">
        <f t="shared" si="17"/>
        <v>6.2515313091616163</v>
      </c>
    </row>
    <row r="127" spans="5:17" x14ac:dyDescent="0.2">
      <c r="E127" s="1">
        <v>125</v>
      </c>
      <c r="F127" s="4">
        <f t="shared" si="9"/>
        <v>6076.105395806896</v>
      </c>
      <c r="G127" s="4">
        <f t="shared" si="10"/>
        <v>1827.3089649232832</v>
      </c>
      <c r="H127" s="4">
        <f t="shared" si="11"/>
        <v>4248.7964308836126</v>
      </c>
      <c r="I127" s="4">
        <f>IF($B$2-SUM($G$3:G127)&lt; 0.001,0,$B$2-SUM($G$3:G127))</f>
        <v>830589.95096329646</v>
      </c>
      <c r="J127" s="5">
        <f t="shared" si="12"/>
        <v>6123.8425925925922</v>
      </c>
      <c r="K127" s="5">
        <f t="shared" si="13"/>
        <v>2777.7777777777778</v>
      </c>
      <c r="L127" s="5">
        <f t="shared" si="14"/>
        <v>3346.0648148148175</v>
      </c>
      <c r="M127" s="5">
        <f>IF(E127&lt;=$B$3,$B$2-SUM($K$3:K127),0)</f>
        <v>652777.77777777833</v>
      </c>
      <c r="N127" s="2">
        <v>4.9000000000000004</v>
      </c>
      <c r="O127" s="1">
        <f t="shared" si="15"/>
        <v>6.125</v>
      </c>
      <c r="P127" s="1">
        <f t="shared" si="16"/>
        <v>5.1041666666666666E-3</v>
      </c>
      <c r="Q127" s="1">
        <f t="shared" si="17"/>
        <v>6.2515313091616163</v>
      </c>
    </row>
    <row r="128" spans="5:17" x14ac:dyDescent="0.2">
      <c r="E128" s="1">
        <v>126</v>
      </c>
      <c r="F128" s="4">
        <f t="shared" si="9"/>
        <v>6076.105395806896</v>
      </c>
      <c r="G128" s="4">
        <f t="shared" si="10"/>
        <v>1836.6358544317459</v>
      </c>
      <c r="H128" s="4">
        <f t="shared" si="11"/>
        <v>4239.4695413751506</v>
      </c>
      <c r="I128" s="4">
        <f>IF($B$2-SUM($G$3:G128)&lt; 0.001,0,$B$2-SUM($G$3:G128))</f>
        <v>828753.31510886468</v>
      </c>
      <c r="J128" s="5">
        <f t="shared" si="12"/>
        <v>6109.6643518518522</v>
      </c>
      <c r="K128" s="5">
        <f t="shared" si="13"/>
        <v>2777.7777777777778</v>
      </c>
      <c r="L128" s="5">
        <f t="shared" si="14"/>
        <v>3331.8865740740766</v>
      </c>
      <c r="M128" s="5">
        <f>IF(E128&lt;=$B$3,$B$2-SUM($K$3:K128),0)</f>
        <v>650000.00000000058</v>
      </c>
      <c r="N128" s="2">
        <v>4.9000000000000004</v>
      </c>
      <c r="O128" s="1">
        <f t="shared" si="15"/>
        <v>6.125</v>
      </c>
      <c r="P128" s="1">
        <f t="shared" si="16"/>
        <v>5.1041666666666666E-3</v>
      </c>
      <c r="Q128" s="1">
        <f t="shared" si="17"/>
        <v>6.2515313091616163</v>
      </c>
    </row>
    <row r="129" spans="5:17" x14ac:dyDescent="0.2">
      <c r="E129" s="1">
        <v>127</v>
      </c>
      <c r="F129" s="4">
        <f t="shared" si="9"/>
        <v>6076.105395806896</v>
      </c>
      <c r="G129" s="4">
        <f t="shared" si="10"/>
        <v>1846.0103499387415</v>
      </c>
      <c r="H129" s="4">
        <f t="shared" si="11"/>
        <v>4230.0950458681546</v>
      </c>
      <c r="I129" s="4">
        <f>IF($B$2-SUM($G$3:G129)&lt; 0.001,0,$B$2-SUM($G$3:G129))</f>
        <v>826907.30475892592</v>
      </c>
      <c r="J129" s="5">
        <f t="shared" si="12"/>
        <v>6095.4861111111113</v>
      </c>
      <c r="K129" s="5">
        <f t="shared" si="13"/>
        <v>2777.7777777777778</v>
      </c>
      <c r="L129" s="5">
        <f t="shared" si="14"/>
        <v>3317.7083333333362</v>
      </c>
      <c r="M129" s="5">
        <f>IF(E129&lt;=$B$3,$B$2-SUM($K$3:K129),0)</f>
        <v>647222.22222222283</v>
      </c>
      <c r="N129" s="2">
        <v>4.9000000000000004</v>
      </c>
      <c r="O129" s="1">
        <f t="shared" si="15"/>
        <v>6.125</v>
      </c>
      <c r="P129" s="1">
        <f t="shared" si="16"/>
        <v>5.1041666666666666E-3</v>
      </c>
      <c r="Q129" s="1">
        <f t="shared" si="17"/>
        <v>6.2515313091616163</v>
      </c>
    </row>
    <row r="130" spans="5:17" x14ac:dyDescent="0.2">
      <c r="E130" s="1">
        <v>128</v>
      </c>
      <c r="F130" s="4">
        <f t="shared" si="9"/>
        <v>6076.105395806896</v>
      </c>
      <c r="G130" s="4">
        <f t="shared" si="10"/>
        <v>1855.4326944332206</v>
      </c>
      <c r="H130" s="4">
        <f t="shared" si="11"/>
        <v>4220.6727013736754</v>
      </c>
      <c r="I130" s="4">
        <f>IF($B$2-SUM($G$3:G130)&lt; 0.001,0,$B$2-SUM($G$3:G130))</f>
        <v>825051.87206449278</v>
      </c>
      <c r="J130" s="5">
        <f t="shared" si="12"/>
        <v>6081.3078703703704</v>
      </c>
      <c r="K130" s="5">
        <f t="shared" si="13"/>
        <v>2777.7777777777778</v>
      </c>
      <c r="L130" s="5">
        <f t="shared" si="14"/>
        <v>3303.5300925925958</v>
      </c>
      <c r="M130" s="5">
        <f>IF(E130&lt;=$B$3,$B$2-SUM($K$3:K130),0)</f>
        <v>644444.44444444508</v>
      </c>
      <c r="N130" s="2">
        <v>4.9000000000000004</v>
      </c>
      <c r="O130" s="1">
        <f t="shared" si="15"/>
        <v>6.125</v>
      </c>
      <c r="P130" s="1">
        <f t="shared" si="16"/>
        <v>5.1041666666666666E-3</v>
      </c>
      <c r="Q130" s="1">
        <f t="shared" si="17"/>
        <v>6.2515313091616163</v>
      </c>
    </row>
    <row r="131" spans="5:17" x14ac:dyDescent="0.2">
      <c r="E131" s="1">
        <v>129</v>
      </c>
      <c r="F131" s="4">
        <f t="shared" ref="F131:F194" si="18">IF(E131&lt;=$B$3, $B$2*P131*Q131/(Q131-1), 0)</f>
        <v>6076.105395806896</v>
      </c>
      <c r="G131" s="4">
        <f t="shared" ref="G131:G194" si="19">IF(E131&lt;=$B$3,$B$2*P131*POWER((1+P131),(E131-1))/(Q131-1),0)</f>
        <v>1864.9031321443902</v>
      </c>
      <c r="H131" s="4">
        <f t="shared" ref="H131:H194" si="20">IF(E131&lt;=$B$3,$B$2*P131*(Q131-POWER((1+P131),(E131-1)))/(Q131-1),0)</f>
        <v>4211.202263662507</v>
      </c>
      <c r="I131" s="4">
        <f>IF($B$2-SUM($G$3:G131)&lt; 0.001,0,$B$2-SUM($G$3:G131))</f>
        <v>823186.9689323483</v>
      </c>
      <c r="J131" s="5">
        <f t="shared" ref="J131:J194" si="21">IF(E131&lt;=$B$3, ($B$2/$B$3)+($B$2 - ($B$2/$B$3) * (E131-1))*P131,0)</f>
        <v>6067.1296296296296</v>
      </c>
      <c r="K131" s="5">
        <f t="shared" ref="K131:K194" si="22">IF(E131&lt;=$B$3,$B$2/$B$3,0)</f>
        <v>2777.7777777777778</v>
      </c>
      <c r="L131" s="5">
        <f t="shared" si="14"/>
        <v>3289.3518518518549</v>
      </c>
      <c r="M131" s="5">
        <f>IF(E131&lt;=$B$3,$B$2-SUM($K$3:K131),0)</f>
        <v>641666.66666666733</v>
      </c>
      <c r="N131" s="2">
        <v>4.9000000000000004</v>
      </c>
      <c r="O131" s="1">
        <f t="shared" si="15"/>
        <v>6.125</v>
      </c>
      <c r="P131" s="1">
        <f t="shared" si="16"/>
        <v>5.1041666666666666E-3</v>
      </c>
      <c r="Q131" s="1">
        <f t="shared" si="17"/>
        <v>6.2515313091616163</v>
      </c>
    </row>
    <row r="132" spans="5:17" x14ac:dyDescent="0.2">
      <c r="E132" s="1">
        <v>130</v>
      </c>
      <c r="F132" s="4">
        <f t="shared" si="18"/>
        <v>6076.105395806896</v>
      </c>
      <c r="G132" s="4">
        <f t="shared" si="19"/>
        <v>1874.4219085480438</v>
      </c>
      <c r="H132" s="4">
        <f t="shared" si="20"/>
        <v>4201.6834872588524</v>
      </c>
      <c r="I132" s="4">
        <f>IF($B$2-SUM($G$3:G132)&lt; 0.001,0,$B$2-SUM($G$3:G132))</f>
        <v>821312.54702380032</v>
      </c>
      <c r="J132" s="5">
        <f t="shared" si="21"/>
        <v>6052.9513888888887</v>
      </c>
      <c r="K132" s="5">
        <f t="shared" si="22"/>
        <v>2777.7777777777778</v>
      </c>
      <c r="L132" s="5">
        <f t="shared" ref="L132:L195" si="23">(K132+M132)*P132</f>
        <v>3275.1736111111145</v>
      </c>
      <c r="M132" s="5">
        <f>IF(E132&lt;=$B$3,$B$2-SUM($K$3:K132),0)</f>
        <v>638888.88888888957</v>
      </c>
      <c r="N132" s="2">
        <v>4.9000000000000004</v>
      </c>
      <c r="O132" s="1">
        <f t="shared" ref="O132:O195" si="24">N132*$B$4/100</f>
        <v>6.125</v>
      </c>
      <c r="P132" s="1">
        <f t="shared" ref="P132:P195" si="25">O132/1200</f>
        <v>5.1041666666666666E-3</v>
      </c>
      <c r="Q132" s="1">
        <f t="shared" ref="Q132:Q195" si="26">POWER((1+P132),$B$3)</f>
        <v>6.2515313091616163</v>
      </c>
    </row>
    <row r="133" spans="5:17" x14ac:dyDescent="0.2">
      <c r="E133" s="1">
        <v>131</v>
      </c>
      <c r="F133" s="4">
        <f t="shared" si="18"/>
        <v>6076.105395806896</v>
      </c>
      <c r="G133" s="4">
        <f t="shared" si="19"/>
        <v>1883.9892703729247</v>
      </c>
      <c r="H133" s="4">
        <f t="shared" si="20"/>
        <v>4192.1161254339713</v>
      </c>
      <c r="I133" s="4">
        <f>IF($B$2-SUM($G$3:G133)&lt; 0.001,0,$B$2-SUM($G$3:G133))</f>
        <v>819428.55775342742</v>
      </c>
      <c r="J133" s="5">
        <f t="shared" si="21"/>
        <v>6038.7731481481478</v>
      </c>
      <c r="K133" s="5">
        <f t="shared" si="22"/>
        <v>2777.7777777777778</v>
      </c>
      <c r="L133" s="5">
        <f t="shared" si="23"/>
        <v>3260.9953703703736</v>
      </c>
      <c r="M133" s="5">
        <f>IF(E133&lt;=$B$3,$B$2-SUM($K$3:K133),0)</f>
        <v>636111.11111111182</v>
      </c>
      <c r="N133" s="2">
        <v>4.9000000000000004</v>
      </c>
      <c r="O133" s="1">
        <f t="shared" si="24"/>
        <v>6.125</v>
      </c>
      <c r="P133" s="1">
        <f t="shared" si="25"/>
        <v>5.1041666666666666E-3</v>
      </c>
      <c r="Q133" s="1">
        <f t="shared" si="26"/>
        <v>6.2515313091616163</v>
      </c>
    </row>
    <row r="134" spans="5:17" x14ac:dyDescent="0.2">
      <c r="E134" s="1">
        <v>132</v>
      </c>
      <c r="F134" s="4">
        <f t="shared" si="18"/>
        <v>6076.105395806896</v>
      </c>
      <c r="G134" s="4">
        <f t="shared" si="19"/>
        <v>1893.6054656071201</v>
      </c>
      <c r="H134" s="4">
        <f t="shared" si="20"/>
        <v>4182.4999301997759</v>
      </c>
      <c r="I134" s="4">
        <f>IF($B$2-SUM($G$3:G134)&lt; 0.001,0,$B$2-SUM($G$3:G134))</f>
        <v>817534.95228782028</v>
      </c>
      <c r="J134" s="5">
        <f t="shared" si="21"/>
        <v>6024.5949074074069</v>
      </c>
      <c r="K134" s="5">
        <f t="shared" si="22"/>
        <v>2777.7777777777778</v>
      </c>
      <c r="L134" s="5">
        <f t="shared" si="23"/>
        <v>3246.8171296296332</v>
      </c>
      <c r="M134" s="5">
        <f>IF(E134&lt;=$B$3,$B$2-SUM($K$3:K134),0)</f>
        <v>633333.33333333407</v>
      </c>
      <c r="N134" s="2">
        <v>4.9000000000000004</v>
      </c>
      <c r="O134" s="1">
        <f t="shared" si="24"/>
        <v>6.125</v>
      </c>
      <c r="P134" s="1">
        <f t="shared" si="25"/>
        <v>5.1041666666666666E-3</v>
      </c>
      <c r="Q134" s="1">
        <f t="shared" si="26"/>
        <v>6.2515313091616163</v>
      </c>
    </row>
    <row r="135" spans="5:17" x14ac:dyDescent="0.2">
      <c r="E135" s="1">
        <v>133</v>
      </c>
      <c r="F135" s="4">
        <f t="shared" si="18"/>
        <v>6076.105395806896</v>
      </c>
      <c r="G135" s="4">
        <f t="shared" si="19"/>
        <v>1903.2707435044897</v>
      </c>
      <c r="H135" s="4">
        <f t="shared" si="20"/>
        <v>4172.8346523024065</v>
      </c>
      <c r="I135" s="4">
        <f>IF($B$2-SUM($G$3:G135)&lt; 0.001,0,$B$2-SUM($G$3:G135))</f>
        <v>815631.68154431577</v>
      </c>
      <c r="J135" s="5">
        <f t="shared" si="21"/>
        <v>6010.4166666666661</v>
      </c>
      <c r="K135" s="5">
        <f t="shared" si="22"/>
        <v>2777.7777777777778</v>
      </c>
      <c r="L135" s="5">
        <f t="shared" si="23"/>
        <v>3232.6388888888928</v>
      </c>
      <c r="M135" s="5">
        <f>IF(E135&lt;=$B$3,$B$2-SUM($K$3:K135),0)</f>
        <v>630555.55555555632</v>
      </c>
      <c r="N135" s="2">
        <v>4.9000000000000004</v>
      </c>
      <c r="O135" s="1">
        <f t="shared" si="24"/>
        <v>6.125</v>
      </c>
      <c r="P135" s="1">
        <f t="shared" si="25"/>
        <v>5.1041666666666666E-3</v>
      </c>
      <c r="Q135" s="1">
        <f t="shared" si="26"/>
        <v>6.2515313091616163</v>
      </c>
    </row>
    <row r="136" spans="5:17" x14ac:dyDescent="0.2">
      <c r="E136" s="1">
        <v>134</v>
      </c>
      <c r="F136" s="4">
        <f t="shared" si="18"/>
        <v>6076.105395806896</v>
      </c>
      <c r="G136" s="4">
        <f t="shared" si="19"/>
        <v>1912.9853545911271</v>
      </c>
      <c r="H136" s="4">
        <f t="shared" si="20"/>
        <v>4163.1200412157696</v>
      </c>
      <c r="I136" s="4">
        <f>IF($B$2-SUM($G$3:G136)&lt; 0.001,0,$B$2-SUM($G$3:G136))</f>
        <v>813718.69618972461</v>
      </c>
      <c r="J136" s="5">
        <f t="shared" si="21"/>
        <v>5996.2384259259252</v>
      </c>
      <c r="K136" s="5">
        <f t="shared" si="22"/>
        <v>2777.7777777777778</v>
      </c>
      <c r="L136" s="5">
        <f t="shared" si="23"/>
        <v>3218.4606481481519</v>
      </c>
      <c r="M136" s="5">
        <f>IF(E136&lt;=$B$3,$B$2-SUM($K$3:K136),0)</f>
        <v>627777.77777777857</v>
      </c>
      <c r="N136" s="2">
        <v>4.9000000000000004</v>
      </c>
      <c r="O136" s="1">
        <f t="shared" si="24"/>
        <v>6.125</v>
      </c>
      <c r="P136" s="1">
        <f t="shared" si="25"/>
        <v>5.1041666666666666E-3</v>
      </c>
      <c r="Q136" s="1">
        <f t="shared" si="26"/>
        <v>6.2515313091616163</v>
      </c>
    </row>
    <row r="137" spans="5:17" x14ac:dyDescent="0.2">
      <c r="E137" s="1">
        <v>135</v>
      </c>
      <c r="F137" s="4">
        <f t="shared" si="18"/>
        <v>6076.105395806896</v>
      </c>
      <c r="G137" s="4">
        <f t="shared" si="19"/>
        <v>1922.7495506718531</v>
      </c>
      <c r="H137" s="4">
        <f t="shared" si="20"/>
        <v>4153.3558451350436</v>
      </c>
      <c r="I137" s="4">
        <f>IF($B$2-SUM($G$3:G137)&lt; 0.001,0,$B$2-SUM($G$3:G137))</f>
        <v>811795.94663905283</v>
      </c>
      <c r="J137" s="5">
        <f t="shared" si="21"/>
        <v>5982.0601851851852</v>
      </c>
      <c r="K137" s="5">
        <f t="shared" si="22"/>
        <v>2777.7777777777778</v>
      </c>
      <c r="L137" s="5">
        <f t="shared" si="23"/>
        <v>3204.2824074074115</v>
      </c>
      <c r="M137" s="5">
        <f>IF(E137&lt;=$B$3,$B$2-SUM($K$3:K137),0)</f>
        <v>625000.00000000081</v>
      </c>
      <c r="N137" s="2">
        <v>4.9000000000000004</v>
      </c>
      <c r="O137" s="1">
        <f t="shared" si="24"/>
        <v>6.125</v>
      </c>
      <c r="P137" s="1">
        <f t="shared" si="25"/>
        <v>5.1041666666666666E-3</v>
      </c>
      <c r="Q137" s="1">
        <f t="shared" si="26"/>
        <v>6.2515313091616163</v>
      </c>
    </row>
    <row r="138" spans="5:17" x14ac:dyDescent="0.2">
      <c r="E138" s="1">
        <v>136</v>
      </c>
      <c r="F138" s="4">
        <f t="shared" si="18"/>
        <v>6076.105395806896</v>
      </c>
      <c r="G138" s="4">
        <f t="shared" si="19"/>
        <v>1932.5635848367408</v>
      </c>
      <c r="H138" s="4">
        <f t="shared" si="20"/>
        <v>4143.5418109701559</v>
      </c>
      <c r="I138" s="4">
        <f>IF($B$2-SUM($G$3:G138)&lt; 0.001,0,$B$2-SUM($G$3:G138))</f>
        <v>809863.38305421604</v>
      </c>
      <c r="J138" s="5">
        <f t="shared" si="21"/>
        <v>5967.8819444444443</v>
      </c>
      <c r="K138" s="5">
        <f t="shared" si="22"/>
        <v>2777.7777777777778</v>
      </c>
      <c r="L138" s="5">
        <f t="shared" si="23"/>
        <v>3190.1041666666706</v>
      </c>
      <c r="M138" s="5">
        <f>IF(E138&lt;=$B$3,$B$2-SUM($K$3:K138),0)</f>
        <v>622222.22222222306</v>
      </c>
      <c r="N138" s="2">
        <v>4.9000000000000004</v>
      </c>
      <c r="O138" s="1">
        <f t="shared" si="24"/>
        <v>6.125</v>
      </c>
      <c r="P138" s="1">
        <f t="shared" si="25"/>
        <v>5.1041666666666666E-3</v>
      </c>
      <c r="Q138" s="1">
        <f t="shared" si="26"/>
        <v>6.2515313091616163</v>
      </c>
    </row>
    <row r="139" spans="5:17" x14ac:dyDescent="0.2">
      <c r="E139" s="1">
        <v>137</v>
      </c>
      <c r="F139" s="4">
        <f t="shared" si="18"/>
        <v>6076.105395806896</v>
      </c>
      <c r="G139" s="4">
        <f t="shared" si="19"/>
        <v>1942.4277114676779</v>
      </c>
      <c r="H139" s="4">
        <f t="shared" si="20"/>
        <v>4133.6776843392181</v>
      </c>
      <c r="I139" s="4">
        <f>IF($B$2-SUM($G$3:G139)&lt; 0.001,0,$B$2-SUM($G$3:G139))</f>
        <v>807920.95534274844</v>
      </c>
      <c r="J139" s="5">
        <f t="shared" si="21"/>
        <v>5953.7037037037044</v>
      </c>
      <c r="K139" s="5">
        <f t="shared" si="22"/>
        <v>2777.7777777777778</v>
      </c>
      <c r="L139" s="5">
        <f t="shared" si="23"/>
        <v>3175.9259259259302</v>
      </c>
      <c r="M139" s="5">
        <f>IF(E139&lt;=$B$3,$B$2-SUM($K$3:K139),0)</f>
        <v>619444.44444444531</v>
      </c>
      <c r="N139" s="2">
        <v>4.9000000000000004</v>
      </c>
      <c r="O139" s="1">
        <f t="shared" si="24"/>
        <v>6.125</v>
      </c>
      <c r="P139" s="1">
        <f t="shared" si="25"/>
        <v>5.1041666666666666E-3</v>
      </c>
      <c r="Q139" s="1">
        <f t="shared" si="26"/>
        <v>6.2515313091616163</v>
      </c>
    </row>
    <row r="140" spans="5:17" x14ac:dyDescent="0.2">
      <c r="E140" s="1">
        <v>138</v>
      </c>
      <c r="F140" s="4">
        <f t="shared" si="18"/>
        <v>6076.105395806896</v>
      </c>
      <c r="G140" s="4">
        <f t="shared" si="19"/>
        <v>1952.3421862449611</v>
      </c>
      <c r="H140" s="4">
        <f t="shared" si="20"/>
        <v>4123.7632095619347</v>
      </c>
      <c r="I140" s="4">
        <f>IF($B$2-SUM($G$3:G140)&lt; 0.001,0,$B$2-SUM($G$3:G140))</f>
        <v>805968.61315650342</v>
      </c>
      <c r="J140" s="5">
        <f t="shared" si="21"/>
        <v>5939.5254629629635</v>
      </c>
      <c r="K140" s="5">
        <f t="shared" si="22"/>
        <v>2777.7777777777778</v>
      </c>
      <c r="L140" s="5">
        <f t="shared" si="23"/>
        <v>3161.7476851851898</v>
      </c>
      <c r="M140" s="5">
        <f>IF(E140&lt;=$B$3,$B$2-SUM($K$3:K140),0)</f>
        <v>616666.66666666756</v>
      </c>
      <c r="N140" s="2">
        <v>4.9000000000000004</v>
      </c>
      <c r="O140" s="1">
        <f t="shared" si="24"/>
        <v>6.125</v>
      </c>
      <c r="P140" s="1">
        <f t="shared" si="25"/>
        <v>5.1041666666666666E-3</v>
      </c>
      <c r="Q140" s="1">
        <f t="shared" si="26"/>
        <v>6.2515313091616163</v>
      </c>
    </row>
    <row r="141" spans="5:17" x14ac:dyDescent="0.2">
      <c r="E141" s="1">
        <v>139</v>
      </c>
      <c r="F141" s="4">
        <f t="shared" si="18"/>
        <v>6076.105395806896</v>
      </c>
      <c r="G141" s="4">
        <f t="shared" si="19"/>
        <v>1962.3072661539197</v>
      </c>
      <c r="H141" s="4">
        <f t="shared" si="20"/>
        <v>4113.798129652977</v>
      </c>
      <c r="I141" s="4">
        <f>IF($B$2-SUM($G$3:G141)&lt; 0.001,0,$B$2-SUM($G$3:G141))</f>
        <v>804006.30589034955</v>
      </c>
      <c r="J141" s="5">
        <f t="shared" si="21"/>
        <v>5925.3472222222226</v>
      </c>
      <c r="K141" s="5">
        <f t="shared" si="22"/>
        <v>2777.7777777777778</v>
      </c>
      <c r="L141" s="5">
        <f t="shared" si="23"/>
        <v>3147.5694444444489</v>
      </c>
      <c r="M141" s="5">
        <f>IF(E141&lt;=$B$3,$B$2-SUM($K$3:K141),0)</f>
        <v>613888.88888888981</v>
      </c>
      <c r="N141" s="2">
        <v>4.9000000000000004</v>
      </c>
      <c r="O141" s="1">
        <f t="shared" si="24"/>
        <v>6.125</v>
      </c>
      <c r="P141" s="1">
        <f t="shared" si="25"/>
        <v>5.1041666666666666E-3</v>
      </c>
      <c r="Q141" s="1">
        <f t="shared" si="26"/>
        <v>6.2515313091616163</v>
      </c>
    </row>
    <row r="142" spans="5:17" x14ac:dyDescent="0.2">
      <c r="E142" s="1">
        <v>140</v>
      </c>
      <c r="F142" s="4">
        <f t="shared" si="18"/>
        <v>6076.105395806896</v>
      </c>
      <c r="G142" s="4">
        <f t="shared" si="19"/>
        <v>1972.3232094915813</v>
      </c>
      <c r="H142" s="4">
        <f t="shared" si="20"/>
        <v>4103.7821863153158</v>
      </c>
      <c r="I142" s="4">
        <f>IF($B$2-SUM($G$3:G142)&lt; 0.001,0,$B$2-SUM($G$3:G142))</f>
        <v>802033.98268085788</v>
      </c>
      <c r="J142" s="5">
        <f t="shared" si="21"/>
        <v>5911.1689814814818</v>
      </c>
      <c r="K142" s="5">
        <f t="shared" si="22"/>
        <v>2777.7777777777778</v>
      </c>
      <c r="L142" s="5">
        <f t="shared" si="23"/>
        <v>3133.3912037037085</v>
      </c>
      <c r="M142" s="5">
        <f>IF(E142&lt;=$B$3,$B$2-SUM($K$3:K142),0)</f>
        <v>611111.11111111206</v>
      </c>
      <c r="N142" s="2">
        <v>4.9000000000000004</v>
      </c>
      <c r="O142" s="1">
        <f t="shared" si="24"/>
        <v>6.125</v>
      </c>
      <c r="P142" s="1">
        <f t="shared" si="25"/>
        <v>5.1041666666666666E-3</v>
      </c>
      <c r="Q142" s="1">
        <f t="shared" si="26"/>
        <v>6.2515313091616163</v>
      </c>
    </row>
    <row r="143" spans="5:17" x14ac:dyDescent="0.2">
      <c r="E143" s="1">
        <v>141</v>
      </c>
      <c r="F143" s="4">
        <f t="shared" si="18"/>
        <v>6076.105395806896</v>
      </c>
      <c r="G143" s="4">
        <f t="shared" si="19"/>
        <v>1982.3902758733609</v>
      </c>
      <c r="H143" s="4">
        <f t="shared" si="20"/>
        <v>4093.7151199335353</v>
      </c>
      <c r="I143" s="4">
        <f>IF($B$2-SUM($G$3:G143)&lt; 0.001,0,$B$2-SUM($G$3:G143))</f>
        <v>800051.59240498464</v>
      </c>
      <c r="J143" s="5">
        <f t="shared" si="21"/>
        <v>5896.9907407407409</v>
      </c>
      <c r="K143" s="5">
        <f t="shared" si="22"/>
        <v>2777.7777777777778</v>
      </c>
      <c r="L143" s="5">
        <f t="shared" si="23"/>
        <v>3119.2129629629676</v>
      </c>
      <c r="M143" s="5">
        <f>IF(E143&lt;=$B$3,$B$2-SUM($K$3:K143),0)</f>
        <v>608333.3333333343</v>
      </c>
      <c r="N143" s="2">
        <v>4.9000000000000004</v>
      </c>
      <c r="O143" s="1">
        <f t="shared" si="24"/>
        <v>6.125</v>
      </c>
      <c r="P143" s="1">
        <f t="shared" si="25"/>
        <v>5.1041666666666666E-3</v>
      </c>
      <c r="Q143" s="1">
        <f t="shared" si="26"/>
        <v>6.2515313091616163</v>
      </c>
    </row>
    <row r="144" spans="5:17" x14ac:dyDescent="0.2">
      <c r="E144" s="1">
        <v>142</v>
      </c>
      <c r="F144" s="4">
        <f t="shared" si="18"/>
        <v>6076.105395806896</v>
      </c>
      <c r="G144" s="4">
        <f t="shared" si="19"/>
        <v>1992.5087262397981</v>
      </c>
      <c r="H144" s="4">
        <f t="shared" si="20"/>
        <v>4083.5966695670995</v>
      </c>
      <c r="I144" s="4">
        <f>IF($B$2-SUM($G$3:G144)&lt; 0.001,0,$B$2-SUM($G$3:G144))</f>
        <v>798059.08367874473</v>
      </c>
      <c r="J144" s="5">
        <f t="shared" si="21"/>
        <v>5882.8125</v>
      </c>
      <c r="K144" s="5">
        <f t="shared" si="22"/>
        <v>2777.7777777777778</v>
      </c>
      <c r="L144" s="5">
        <f t="shared" si="23"/>
        <v>3105.0347222222272</v>
      </c>
      <c r="M144" s="5">
        <f>IF(E144&lt;=$B$3,$B$2-SUM($K$3:K144),0)</f>
        <v>605555.55555555655</v>
      </c>
      <c r="N144" s="2">
        <v>4.9000000000000004</v>
      </c>
      <c r="O144" s="1">
        <f t="shared" si="24"/>
        <v>6.125</v>
      </c>
      <c r="P144" s="1">
        <f t="shared" si="25"/>
        <v>5.1041666666666666E-3</v>
      </c>
      <c r="Q144" s="1">
        <f t="shared" si="26"/>
        <v>6.2515313091616163</v>
      </c>
    </row>
    <row r="145" spans="5:17" x14ac:dyDescent="0.2">
      <c r="E145" s="1">
        <v>143</v>
      </c>
      <c r="F145" s="4">
        <f t="shared" si="18"/>
        <v>6076.105395806896</v>
      </c>
      <c r="G145" s="4">
        <f t="shared" si="19"/>
        <v>2002.6788228633138</v>
      </c>
      <c r="H145" s="4">
        <f t="shared" si="20"/>
        <v>4073.4265729435829</v>
      </c>
      <c r="I145" s="4">
        <f>IF($B$2-SUM($G$3:G145)&lt; 0.001,0,$B$2-SUM($G$3:G145))</f>
        <v>796056.40485588147</v>
      </c>
      <c r="J145" s="5">
        <f t="shared" si="21"/>
        <v>5868.6342592592591</v>
      </c>
      <c r="K145" s="5">
        <f t="shared" si="22"/>
        <v>2777.7777777777778</v>
      </c>
      <c r="L145" s="5">
        <f t="shared" si="23"/>
        <v>3090.8564814814863</v>
      </c>
      <c r="M145" s="5">
        <f>IF(E145&lt;=$B$3,$B$2-SUM($K$3:K145),0)</f>
        <v>602777.7777777788</v>
      </c>
      <c r="N145" s="2">
        <v>4.9000000000000004</v>
      </c>
      <c r="O145" s="1">
        <f t="shared" si="24"/>
        <v>6.125</v>
      </c>
      <c r="P145" s="1">
        <f t="shared" si="25"/>
        <v>5.1041666666666666E-3</v>
      </c>
      <c r="Q145" s="1">
        <f t="shared" si="26"/>
        <v>6.2515313091616163</v>
      </c>
    </row>
    <row r="146" spans="5:17" x14ac:dyDescent="0.2">
      <c r="E146" s="1">
        <v>144</v>
      </c>
      <c r="F146" s="4">
        <f t="shared" si="18"/>
        <v>6076.105395806896</v>
      </c>
      <c r="G146" s="4">
        <f t="shared" si="19"/>
        <v>2012.9008293550121</v>
      </c>
      <c r="H146" s="4">
        <f t="shared" si="20"/>
        <v>4063.2045664518846</v>
      </c>
      <c r="I146" s="4">
        <f>IF($B$2-SUM($G$3:G146)&lt; 0.001,0,$B$2-SUM($G$3:G146))</f>
        <v>794043.50402652647</v>
      </c>
      <c r="J146" s="5">
        <f t="shared" si="21"/>
        <v>5854.4560185185182</v>
      </c>
      <c r="K146" s="5">
        <f t="shared" si="22"/>
        <v>2777.7777777777778</v>
      </c>
      <c r="L146" s="5">
        <f t="shared" si="23"/>
        <v>3076.6782407407459</v>
      </c>
      <c r="M146" s="5">
        <f>IF(E146&lt;=$B$3,$B$2-SUM($K$3:K146),0)</f>
        <v>600000.00000000105</v>
      </c>
      <c r="N146" s="2">
        <v>4.9000000000000004</v>
      </c>
      <c r="O146" s="1">
        <f t="shared" si="24"/>
        <v>6.125</v>
      </c>
      <c r="P146" s="1">
        <f t="shared" si="25"/>
        <v>5.1041666666666666E-3</v>
      </c>
      <c r="Q146" s="1">
        <f t="shared" si="26"/>
        <v>6.2515313091616163</v>
      </c>
    </row>
    <row r="147" spans="5:17" x14ac:dyDescent="0.2">
      <c r="E147" s="1">
        <v>145</v>
      </c>
      <c r="F147" s="4">
        <f t="shared" si="18"/>
        <v>6076.105395806896</v>
      </c>
      <c r="G147" s="4">
        <f t="shared" si="19"/>
        <v>2023.1750106715115</v>
      </c>
      <c r="H147" s="4">
        <f t="shared" si="20"/>
        <v>4052.9303851353848</v>
      </c>
      <c r="I147" s="4">
        <f>IF($B$2-SUM($G$3:G147)&lt; 0.001,0,$B$2-SUM($G$3:G147))</f>
        <v>792020.32901585498</v>
      </c>
      <c r="J147" s="5">
        <f t="shared" si="21"/>
        <v>5840.2777777777774</v>
      </c>
      <c r="K147" s="5">
        <f t="shared" si="22"/>
        <v>2777.7777777777778</v>
      </c>
      <c r="L147" s="5">
        <f t="shared" si="23"/>
        <v>3062.5000000000055</v>
      </c>
      <c r="M147" s="5">
        <f>IF(E147&lt;=$B$3,$B$2-SUM($K$3:K147),0)</f>
        <v>597222.2222222233</v>
      </c>
      <c r="N147" s="2">
        <v>4.9000000000000004</v>
      </c>
      <c r="O147" s="1">
        <f t="shared" si="24"/>
        <v>6.125</v>
      </c>
      <c r="P147" s="1">
        <f t="shared" si="25"/>
        <v>5.1041666666666666E-3</v>
      </c>
      <c r="Q147" s="1">
        <f t="shared" si="26"/>
        <v>6.2515313091616163</v>
      </c>
    </row>
    <row r="148" spans="5:17" x14ac:dyDescent="0.2">
      <c r="E148" s="1">
        <v>146</v>
      </c>
      <c r="F148" s="4">
        <f t="shared" si="18"/>
        <v>6076.105395806896</v>
      </c>
      <c r="G148" s="4">
        <f t="shared" si="19"/>
        <v>2033.5016331218144</v>
      </c>
      <c r="H148" s="4">
        <f t="shared" si="20"/>
        <v>4042.603762685083</v>
      </c>
      <c r="I148" s="4">
        <f>IF($B$2-SUM($G$3:G148)&lt; 0.001,0,$B$2-SUM($G$3:G148))</f>
        <v>789986.82738273311</v>
      </c>
      <c r="J148" s="5">
        <f t="shared" si="21"/>
        <v>5826.0995370370365</v>
      </c>
      <c r="K148" s="5">
        <f t="shared" si="22"/>
        <v>2777.7777777777778</v>
      </c>
      <c r="L148" s="5">
        <f t="shared" si="23"/>
        <v>3048.3217592592646</v>
      </c>
      <c r="M148" s="5">
        <f>IF(E148&lt;=$B$3,$B$2-SUM($K$3:K148),0)</f>
        <v>594444.44444444554</v>
      </c>
      <c r="N148" s="2">
        <v>4.9000000000000004</v>
      </c>
      <c r="O148" s="1">
        <f t="shared" si="24"/>
        <v>6.125</v>
      </c>
      <c r="P148" s="1">
        <f t="shared" si="25"/>
        <v>5.1041666666666666E-3</v>
      </c>
      <c r="Q148" s="1">
        <f t="shared" si="26"/>
        <v>6.2515313091616163</v>
      </c>
    </row>
    <row r="149" spans="5:17" x14ac:dyDescent="0.2">
      <c r="E149" s="1">
        <v>147</v>
      </c>
      <c r="F149" s="4">
        <f t="shared" si="18"/>
        <v>6076.105395806896</v>
      </c>
      <c r="G149" s="4">
        <f t="shared" si="19"/>
        <v>2043.8809643742068</v>
      </c>
      <c r="H149" s="4">
        <f t="shared" si="20"/>
        <v>4032.2244314326899</v>
      </c>
      <c r="I149" s="4">
        <f>IF($B$2-SUM($G$3:G149)&lt; 0.001,0,$B$2-SUM($G$3:G149))</f>
        <v>787942.94641835894</v>
      </c>
      <c r="J149" s="5">
        <f t="shared" si="21"/>
        <v>5811.9212962962965</v>
      </c>
      <c r="K149" s="5">
        <f t="shared" si="22"/>
        <v>2777.7777777777778</v>
      </c>
      <c r="L149" s="5">
        <f t="shared" si="23"/>
        <v>3034.1435185185242</v>
      </c>
      <c r="M149" s="5">
        <f>IF(E149&lt;=$B$3,$B$2-SUM($K$3:K149),0)</f>
        <v>591666.66666666779</v>
      </c>
      <c r="N149" s="2">
        <v>4.9000000000000004</v>
      </c>
      <c r="O149" s="1">
        <f t="shared" si="24"/>
        <v>6.125</v>
      </c>
      <c r="P149" s="1">
        <f t="shared" si="25"/>
        <v>5.1041666666666666E-3</v>
      </c>
      <c r="Q149" s="1">
        <f t="shared" si="26"/>
        <v>6.2515313091616163</v>
      </c>
    </row>
    <row r="150" spans="5:17" x14ac:dyDescent="0.2">
      <c r="E150" s="1">
        <v>148</v>
      </c>
      <c r="F150" s="4">
        <f t="shared" si="18"/>
        <v>6076.105395806896</v>
      </c>
      <c r="G150" s="4">
        <f t="shared" si="19"/>
        <v>2054.3132734632004</v>
      </c>
      <c r="H150" s="4">
        <f t="shared" si="20"/>
        <v>4021.7921223436961</v>
      </c>
      <c r="I150" s="4">
        <f>IF($B$2-SUM($G$3:G150)&lt; 0.001,0,$B$2-SUM($G$3:G150))</f>
        <v>785888.63314489578</v>
      </c>
      <c r="J150" s="5">
        <f t="shared" si="21"/>
        <v>5797.7430555555566</v>
      </c>
      <c r="K150" s="5">
        <f t="shared" si="22"/>
        <v>2777.7777777777778</v>
      </c>
      <c r="L150" s="5">
        <f t="shared" si="23"/>
        <v>3019.9652777777833</v>
      </c>
      <c r="M150" s="5">
        <f>IF(E150&lt;=$B$3,$B$2-SUM($K$3:K150),0)</f>
        <v>588888.88888889004</v>
      </c>
      <c r="N150" s="2">
        <v>4.9000000000000004</v>
      </c>
      <c r="O150" s="1">
        <f t="shared" si="24"/>
        <v>6.125</v>
      </c>
      <c r="P150" s="1">
        <f t="shared" si="25"/>
        <v>5.1041666666666666E-3</v>
      </c>
      <c r="Q150" s="1">
        <f t="shared" si="26"/>
        <v>6.2515313091616163</v>
      </c>
    </row>
    <row r="151" spans="5:17" x14ac:dyDescent="0.2">
      <c r="E151" s="1">
        <v>149</v>
      </c>
      <c r="F151" s="4">
        <f t="shared" si="18"/>
        <v>6076.105395806896</v>
      </c>
      <c r="G151" s="4">
        <f t="shared" si="19"/>
        <v>2064.7988307965024</v>
      </c>
      <c r="H151" s="4">
        <f t="shared" si="20"/>
        <v>4011.3065650103945</v>
      </c>
      <c r="I151" s="4">
        <f>IF($B$2-SUM($G$3:G151)&lt; 0.001,0,$B$2-SUM($G$3:G151))</f>
        <v>783823.83431409928</v>
      </c>
      <c r="J151" s="5">
        <f t="shared" si="21"/>
        <v>5783.5648148148148</v>
      </c>
      <c r="K151" s="5">
        <f t="shared" si="22"/>
        <v>2777.7777777777778</v>
      </c>
      <c r="L151" s="5">
        <f t="shared" si="23"/>
        <v>3005.7870370370429</v>
      </c>
      <c r="M151" s="5">
        <f>IF(E151&lt;=$B$3,$B$2-SUM($K$3:K151),0)</f>
        <v>586111.11111111229</v>
      </c>
      <c r="N151" s="2">
        <v>4.9000000000000004</v>
      </c>
      <c r="O151" s="1">
        <f t="shared" si="24"/>
        <v>6.125</v>
      </c>
      <c r="P151" s="1">
        <f t="shared" si="25"/>
        <v>5.1041666666666666E-3</v>
      </c>
      <c r="Q151" s="1">
        <f t="shared" si="26"/>
        <v>6.2515313091616163</v>
      </c>
    </row>
    <row r="152" spans="5:17" x14ac:dyDescent="0.2">
      <c r="E152" s="1">
        <v>150</v>
      </c>
      <c r="F152" s="4">
        <f t="shared" si="18"/>
        <v>6076.105395806896</v>
      </c>
      <c r="G152" s="4">
        <f t="shared" si="19"/>
        <v>2075.3379081620265</v>
      </c>
      <c r="H152" s="4">
        <f t="shared" si="20"/>
        <v>4000.76748764487</v>
      </c>
      <c r="I152" s="4">
        <f>IF($B$2-SUM($G$3:G152)&lt; 0.001,0,$B$2-SUM($G$3:G152))</f>
        <v>781748.49640593724</v>
      </c>
      <c r="J152" s="5">
        <f t="shared" si="21"/>
        <v>5769.3865740740748</v>
      </c>
      <c r="K152" s="5">
        <f t="shared" si="22"/>
        <v>2777.7777777777778</v>
      </c>
      <c r="L152" s="5">
        <f t="shared" si="23"/>
        <v>2991.6087962963024</v>
      </c>
      <c r="M152" s="5">
        <f>IF(E152&lt;=$B$3,$B$2-SUM($K$3:K152),0)</f>
        <v>583333.33333333454</v>
      </c>
      <c r="N152" s="2">
        <v>4.9000000000000004</v>
      </c>
      <c r="O152" s="1">
        <f t="shared" si="24"/>
        <v>6.125</v>
      </c>
      <c r="P152" s="1">
        <f t="shared" si="25"/>
        <v>5.1041666666666666E-3</v>
      </c>
      <c r="Q152" s="1">
        <f t="shared" si="26"/>
        <v>6.2515313091616163</v>
      </c>
    </row>
    <row r="153" spans="5:17" x14ac:dyDescent="0.2">
      <c r="E153" s="1">
        <v>151</v>
      </c>
      <c r="F153" s="4">
        <f t="shared" si="18"/>
        <v>6076.105395806896</v>
      </c>
      <c r="G153" s="4">
        <f t="shared" si="19"/>
        <v>2085.9307787349371</v>
      </c>
      <c r="H153" s="4">
        <f t="shared" si="20"/>
        <v>3990.1746170719593</v>
      </c>
      <c r="I153" s="4">
        <f>IF($B$2-SUM($G$3:G153)&lt; 0.001,0,$B$2-SUM($G$3:G153))</f>
        <v>779662.56562720228</v>
      </c>
      <c r="J153" s="5">
        <f t="shared" si="21"/>
        <v>5755.208333333333</v>
      </c>
      <c r="K153" s="5">
        <f t="shared" si="22"/>
        <v>2777.7777777777778</v>
      </c>
      <c r="L153" s="5">
        <f t="shared" si="23"/>
        <v>2977.4305555555616</v>
      </c>
      <c r="M153" s="5">
        <f>IF(E153&lt;=$B$3,$B$2-SUM($K$3:K153),0)</f>
        <v>580555.55555555678</v>
      </c>
      <c r="N153" s="2">
        <v>4.9000000000000004</v>
      </c>
      <c r="O153" s="1">
        <f t="shared" si="24"/>
        <v>6.125</v>
      </c>
      <c r="P153" s="1">
        <f t="shared" si="25"/>
        <v>5.1041666666666666E-3</v>
      </c>
      <c r="Q153" s="1">
        <f t="shared" si="26"/>
        <v>6.2515313091616163</v>
      </c>
    </row>
    <row r="154" spans="5:17" x14ac:dyDescent="0.2">
      <c r="E154" s="1">
        <v>152</v>
      </c>
      <c r="F154" s="4">
        <f t="shared" si="18"/>
        <v>6076.105395806896</v>
      </c>
      <c r="G154" s="4">
        <f t="shared" si="19"/>
        <v>2096.5777170847296</v>
      </c>
      <c r="H154" s="4">
        <f t="shared" si="20"/>
        <v>3979.5276787221669</v>
      </c>
      <c r="I154" s="4">
        <f>IF($B$2-SUM($G$3:G154)&lt; 0.001,0,$B$2-SUM($G$3:G154))</f>
        <v>777565.98791011749</v>
      </c>
      <c r="J154" s="5">
        <f t="shared" si="21"/>
        <v>5741.0300925925922</v>
      </c>
      <c r="K154" s="5">
        <f t="shared" si="22"/>
        <v>2777.7777777777778</v>
      </c>
      <c r="L154" s="5">
        <f t="shared" si="23"/>
        <v>2963.2523148148211</v>
      </c>
      <c r="M154" s="5">
        <f>IF(E154&lt;=$B$3,$B$2-SUM($K$3:K154),0)</f>
        <v>577777.77777777903</v>
      </c>
      <c r="N154" s="2">
        <v>4.9000000000000004</v>
      </c>
      <c r="O154" s="1">
        <f t="shared" si="24"/>
        <v>6.125</v>
      </c>
      <c r="P154" s="1">
        <f t="shared" si="25"/>
        <v>5.1041666666666666E-3</v>
      </c>
      <c r="Q154" s="1">
        <f t="shared" si="26"/>
        <v>6.2515313091616163</v>
      </c>
    </row>
    <row r="155" spans="5:17" x14ac:dyDescent="0.2">
      <c r="E155" s="1">
        <v>153</v>
      </c>
      <c r="F155" s="4">
        <f t="shared" si="18"/>
        <v>6076.105395806896</v>
      </c>
      <c r="G155" s="4">
        <f t="shared" si="19"/>
        <v>2107.2789991823493</v>
      </c>
      <c r="H155" s="4">
        <f t="shared" si="20"/>
        <v>3968.8263966245463</v>
      </c>
      <c r="I155" s="4">
        <f>IF($B$2-SUM($G$3:G155)&lt; 0.001,0,$B$2-SUM($G$3:G155))</f>
        <v>775458.70891093521</v>
      </c>
      <c r="J155" s="5">
        <f t="shared" si="21"/>
        <v>5726.8518518518522</v>
      </c>
      <c r="K155" s="5">
        <f t="shared" si="22"/>
        <v>2777.7777777777778</v>
      </c>
      <c r="L155" s="5">
        <f t="shared" si="23"/>
        <v>2949.0740740740803</v>
      </c>
      <c r="M155" s="5">
        <f>IF(E155&lt;=$B$3,$B$2-SUM($K$3:K155),0)</f>
        <v>575000.00000000128</v>
      </c>
      <c r="N155" s="2">
        <v>4.9000000000000004</v>
      </c>
      <c r="O155" s="1">
        <f t="shared" si="24"/>
        <v>6.125</v>
      </c>
      <c r="P155" s="1">
        <f t="shared" si="25"/>
        <v>5.1041666666666666E-3</v>
      </c>
      <c r="Q155" s="1">
        <f t="shared" si="26"/>
        <v>6.2515313091616163</v>
      </c>
    </row>
    <row r="156" spans="5:17" x14ac:dyDescent="0.2">
      <c r="E156" s="1">
        <v>154</v>
      </c>
      <c r="F156" s="4">
        <f t="shared" si="18"/>
        <v>6076.105395806896</v>
      </c>
      <c r="G156" s="4">
        <f t="shared" si="19"/>
        <v>2118.034902407343</v>
      </c>
      <c r="H156" s="4">
        <f t="shared" si="20"/>
        <v>3958.070493399553</v>
      </c>
      <c r="I156" s="4">
        <f>IF($B$2-SUM($G$3:G156)&lt; 0.001,0,$B$2-SUM($G$3:G156))</f>
        <v>773340.67400852789</v>
      </c>
      <c r="J156" s="5">
        <f t="shared" si="21"/>
        <v>5712.6736111111113</v>
      </c>
      <c r="K156" s="5">
        <f t="shared" si="22"/>
        <v>2777.7777777777778</v>
      </c>
      <c r="L156" s="5">
        <f t="shared" si="23"/>
        <v>2934.8958333333399</v>
      </c>
      <c r="M156" s="5">
        <f>IF(E156&lt;=$B$3,$B$2-SUM($K$3:K156),0)</f>
        <v>572222.22222222353</v>
      </c>
      <c r="N156" s="2">
        <v>4.9000000000000004</v>
      </c>
      <c r="O156" s="1">
        <f t="shared" si="24"/>
        <v>6.125</v>
      </c>
      <c r="P156" s="1">
        <f t="shared" si="25"/>
        <v>5.1041666666666666E-3</v>
      </c>
      <c r="Q156" s="1">
        <f t="shared" si="26"/>
        <v>6.2515313091616163</v>
      </c>
    </row>
    <row r="157" spans="5:17" x14ac:dyDescent="0.2">
      <c r="E157" s="1">
        <v>155</v>
      </c>
      <c r="F157" s="4">
        <f t="shared" si="18"/>
        <v>6076.105395806896</v>
      </c>
      <c r="G157" s="4">
        <f t="shared" si="19"/>
        <v>2128.8457055550471</v>
      </c>
      <c r="H157" s="4">
        <f t="shared" si="20"/>
        <v>3947.259690251849</v>
      </c>
      <c r="I157" s="4">
        <f>IF($B$2-SUM($G$3:G157)&lt; 0.001,0,$B$2-SUM($G$3:G157))</f>
        <v>771211.82830297283</v>
      </c>
      <c r="J157" s="5">
        <f t="shared" si="21"/>
        <v>5698.4953703703704</v>
      </c>
      <c r="K157" s="5">
        <f t="shared" si="22"/>
        <v>2777.7777777777778</v>
      </c>
      <c r="L157" s="5">
        <f t="shared" si="23"/>
        <v>2920.7175925925994</v>
      </c>
      <c r="M157" s="5">
        <f>IF(E157&lt;=$B$3,$B$2-SUM($K$3:K157),0)</f>
        <v>569444.44444444578</v>
      </c>
      <c r="N157" s="2">
        <v>4.9000000000000004</v>
      </c>
      <c r="O157" s="1">
        <f t="shared" si="24"/>
        <v>6.125</v>
      </c>
      <c r="P157" s="1">
        <f t="shared" si="25"/>
        <v>5.1041666666666666E-3</v>
      </c>
      <c r="Q157" s="1">
        <f t="shared" si="26"/>
        <v>6.2515313091616163</v>
      </c>
    </row>
    <row r="158" spans="5:17" x14ac:dyDescent="0.2">
      <c r="E158" s="1">
        <v>156</v>
      </c>
      <c r="F158" s="4">
        <f t="shared" si="18"/>
        <v>6076.105395806896</v>
      </c>
      <c r="G158" s="4">
        <f t="shared" si="19"/>
        <v>2139.7116888438181</v>
      </c>
      <c r="H158" s="4">
        <f t="shared" si="20"/>
        <v>3936.3937069630783</v>
      </c>
      <c r="I158" s="4">
        <f>IF($B$2-SUM($G$3:G158)&lt; 0.001,0,$B$2-SUM($G$3:G158))</f>
        <v>769072.11661412893</v>
      </c>
      <c r="J158" s="5">
        <f t="shared" si="21"/>
        <v>5684.3171296296296</v>
      </c>
      <c r="K158" s="5">
        <f t="shared" si="22"/>
        <v>2777.7777777777778</v>
      </c>
      <c r="L158" s="5">
        <f t="shared" si="23"/>
        <v>2906.5393518518586</v>
      </c>
      <c r="M158" s="5">
        <f>IF(E158&lt;=$B$3,$B$2-SUM($K$3:K158),0)</f>
        <v>566666.66666666802</v>
      </c>
      <c r="N158" s="2">
        <v>4.9000000000000004</v>
      </c>
      <c r="O158" s="1">
        <f t="shared" si="24"/>
        <v>6.125</v>
      </c>
      <c r="P158" s="1">
        <f t="shared" si="25"/>
        <v>5.1041666666666666E-3</v>
      </c>
      <c r="Q158" s="1">
        <f t="shared" si="26"/>
        <v>6.2515313091616163</v>
      </c>
    </row>
    <row r="159" spans="5:17" x14ac:dyDescent="0.2">
      <c r="E159" s="1">
        <v>157</v>
      </c>
      <c r="F159" s="4">
        <f t="shared" si="18"/>
        <v>6076.105395806896</v>
      </c>
      <c r="G159" s="4">
        <f t="shared" si="19"/>
        <v>2150.6331339222916</v>
      </c>
      <c r="H159" s="4">
        <f t="shared" si="20"/>
        <v>3925.4722618846054</v>
      </c>
      <c r="I159" s="4">
        <f>IF($B$2-SUM($G$3:G159)&lt; 0.001,0,$B$2-SUM($G$3:G159))</f>
        <v>766921.48348020669</v>
      </c>
      <c r="J159" s="5">
        <f t="shared" si="21"/>
        <v>5670.1388888888887</v>
      </c>
      <c r="K159" s="5">
        <f t="shared" si="22"/>
        <v>2777.7777777777778</v>
      </c>
      <c r="L159" s="5">
        <f t="shared" si="23"/>
        <v>2892.3611111111181</v>
      </c>
      <c r="M159" s="5">
        <f>IF(E159&lt;=$B$3,$B$2-SUM($K$3:K159),0)</f>
        <v>563888.88888889027</v>
      </c>
      <c r="N159" s="2">
        <v>4.9000000000000004</v>
      </c>
      <c r="O159" s="1">
        <f t="shared" si="24"/>
        <v>6.125</v>
      </c>
      <c r="P159" s="1">
        <f t="shared" si="25"/>
        <v>5.1041666666666666E-3</v>
      </c>
      <c r="Q159" s="1">
        <f t="shared" si="26"/>
        <v>6.2515313091616163</v>
      </c>
    </row>
    <row r="160" spans="5:17" x14ac:dyDescent="0.2">
      <c r="E160" s="1">
        <v>158</v>
      </c>
      <c r="F160" s="4">
        <f t="shared" si="18"/>
        <v>6076.105395806896</v>
      </c>
      <c r="G160" s="4">
        <f t="shared" si="19"/>
        <v>2161.6103238766868</v>
      </c>
      <c r="H160" s="4">
        <f t="shared" si="20"/>
        <v>3914.4950719302087</v>
      </c>
      <c r="I160" s="4">
        <f>IF($B$2-SUM($G$3:G160)&lt; 0.001,0,$B$2-SUM($G$3:G160))</f>
        <v>764759.87315632997</v>
      </c>
      <c r="J160" s="5">
        <f t="shared" si="21"/>
        <v>5655.9606481481478</v>
      </c>
      <c r="K160" s="5">
        <f t="shared" si="22"/>
        <v>2777.7777777777778</v>
      </c>
      <c r="L160" s="5">
        <f t="shared" si="23"/>
        <v>2878.1828703703773</v>
      </c>
      <c r="M160" s="5">
        <f>IF(E160&lt;=$B$3,$B$2-SUM($K$3:K160),0)</f>
        <v>561111.11111111252</v>
      </c>
      <c r="N160" s="2">
        <v>4.9000000000000004</v>
      </c>
      <c r="O160" s="1">
        <f t="shared" si="24"/>
        <v>6.125</v>
      </c>
      <c r="P160" s="1">
        <f t="shared" si="25"/>
        <v>5.1041666666666666E-3</v>
      </c>
      <c r="Q160" s="1">
        <f t="shared" si="26"/>
        <v>6.2515313091616163</v>
      </c>
    </row>
    <row r="161" spans="5:17" x14ac:dyDescent="0.2">
      <c r="E161" s="1">
        <v>159</v>
      </c>
      <c r="F161" s="4">
        <f t="shared" si="18"/>
        <v>6076.105395806896</v>
      </c>
      <c r="G161" s="4">
        <f t="shared" si="19"/>
        <v>2172.6435432381413</v>
      </c>
      <c r="H161" s="4">
        <f t="shared" si="20"/>
        <v>3903.4618525687556</v>
      </c>
      <c r="I161" s="4">
        <f>IF($B$2-SUM($G$3:G161)&lt; 0.001,0,$B$2-SUM($G$3:G161))</f>
        <v>762587.2296130918</v>
      </c>
      <c r="J161" s="5">
        <f t="shared" si="21"/>
        <v>5641.7824074074069</v>
      </c>
      <c r="K161" s="5">
        <f t="shared" si="22"/>
        <v>2777.7777777777778</v>
      </c>
      <c r="L161" s="5">
        <f t="shared" si="23"/>
        <v>2864.0046296296368</v>
      </c>
      <c r="M161" s="5">
        <f>IF(E161&lt;=$B$3,$B$2-SUM($K$3:K161),0)</f>
        <v>558333.33333333477</v>
      </c>
      <c r="N161" s="2">
        <v>4.9000000000000004</v>
      </c>
      <c r="O161" s="1">
        <f t="shared" si="24"/>
        <v>6.125</v>
      </c>
      <c r="P161" s="1">
        <f t="shared" si="25"/>
        <v>5.1041666666666666E-3</v>
      </c>
      <c r="Q161" s="1">
        <f t="shared" si="26"/>
        <v>6.2515313091616163</v>
      </c>
    </row>
    <row r="162" spans="5:17" x14ac:dyDescent="0.2">
      <c r="E162" s="1">
        <v>160</v>
      </c>
      <c r="F162" s="4">
        <f t="shared" si="18"/>
        <v>6076.105395806896</v>
      </c>
      <c r="G162" s="4">
        <f t="shared" si="19"/>
        <v>2183.7330779900863</v>
      </c>
      <c r="H162" s="4">
        <f t="shared" si="20"/>
        <v>3892.3723178168107</v>
      </c>
      <c r="I162" s="4">
        <f>IF($B$2-SUM($G$3:G162)&lt; 0.001,0,$B$2-SUM($G$3:G162))</f>
        <v>760403.49653510179</v>
      </c>
      <c r="J162" s="5">
        <f t="shared" si="21"/>
        <v>5627.6041666666661</v>
      </c>
      <c r="K162" s="5">
        <f t="shared" si="22"/>
        <v>2777.7777777777778</v>
      </c>
      <c r="L162" s="5">
        <f t="shared" si="23"/>
        <v>2849.826388888896</v>
      </c>
      <c r="M162" s="5">
        <f>IF(E162&lt;=$B$3,$B$2-SUM($K$3:K162),0)</f>
        <v>555555.55555555702</v>
      </c>
      <c r="N162" s="2">
        <v>4.9000000000000004</v>
      </c>
      <c r="O162" s="1">
        <f t="shared" si="24"/>
        <v>6.125</v>
      </c>
      <c r="P162" s="1">
        <f t="shared" si="25"/>
        <v>5.1041666666666666E-3</v>
      </c>
      <c r="Q162" s="1">
        <f t="shared" si="26"/>
        <v>6.2515313091616163</v>
      </c>
    </row>
    <row r="163" spans="5:17" x14ac:dyDescent="0.2">
      <c r="E163" s="1">
        <v>161</v>
      </c>
      <c r="F163" s="4">
        <f t="shared" si="18"/>
        <v>6076.105395806896</v>
      </c>
      <c r="G163" s="4">
        <f t="shared" si="19"/>
        <v>2194.8792155756601</v>
      </c>
      <c r="H163" s="4">
        <f t="shared" si="20"/>
        <v>3881.2261802312369</v>
      </c>
      <c r="I163" s="4">
        <f>IF($B$2-SUM($G$3:G163)&lt; 0.001,0,$B$2-SUM($G$3:G163))</f>
        <v>758208.61731952615</v>
      </c>
      <c r="J163" s="5">
        <f t="shared" si="21"/>
        <v>5613.4259259259252</v>
      </c>
      <c r="K163" s="5">
        <f t="shared" si="22"/>
        <v>2777.7777777777778</v>
      </c>
      <c r="L163" s="5">
        <f t="shared" si="23"/>
        <v>2835.6481481481555</v>
      </c>
      <c r="M163" s="5">
        <f>IF(E163&lt;=$B$3,$B$2-SUM($K$3:K163),0)</f>
        <v>552777.77777777927</v>
      </c>
      <c r="N163" s="2">
        <v>4.9000000000000004</v>
      </c>
      <c r="O163" s="1">
        <f t="shared" si="24"/>
        <v>6.125</v>
      </c>
      <c r="P163" s="1">
        <f t="shared" si="25"/>
        <v>5.1041666666666666E-3</v>
      </c>
      <c r="Q163" s="1">
        <f t="shared" si="26"/>
        <v>6.2515313091616163</v>
      </c>
    </row>
    <row r="164" spans="5:17" x14ac:dyDescent="0.2">
      <c r="E164" s="1">
        <v>162</v>
      </c>
      <c r="F164" s="4">
        <f t="shared" si="18"/>
        <v>6076.105395806896</v>
      </c>
      <c r="G164" s="4">
        <f t="shared" si="19"/>
        <v>2206.0822449051611</v>
      </c>
      <c r="H164" s="4">
        <f t="shared" si="20"/>
        <v>3870.0231509017353</v>
      </c>
      <c r="I164" s="4">
        <f>IF($B$2-SUM($G$3:G164)&lt; 0.001,0,$B$2-SUM($G$3:G164))</f>
        <v>756002.53507462097</v>
      </c>
      <c r="J164" s="5">
        <f t="shared" si="21"/>
        <v>5599.2476851851852</v>
      </c>
      <c r="K164" s="5">
        <f t="shared" si="22"/>
        <v>2777.7777777777778</v>
      </c>
      <c r="L164" s="5">
        <f t="shared" si="23"/>
        <v>2821.4699074074151</v>
      </c>
      <c r="M164" s="5">
        <f>IF(E164&lt;=$B$3,$B$2-SUM($K$3:K164),0)</f>
        <v>550000.00000000151</v>
      </c>
      <c r="N164" s="2">
        <v>4.9000000000000004</v>
      </c>
      <c r="O164" s="1">
        <f t="shared" si="24"/>
        <v>6.125</v>
      </c>
      <c r="P164" s="1">
        <f t="shared" si="25"/>
        <v>5.1041666666666666E-3</v>
      </c>
      <c r="Q164" s="1">
        <f t="shared" si="26"/>
        <v>6.2515313091616163</v>
      </c>
    </row>
    <row r="165" spans="5:17" x14ac:dyDescent="0.2">
      <c r="E165" s="1">
        <v>163</v>
      </c>
      <c r="F165" s="4">
        <f t="shared" si="18"/>
        <v>6076.105395806896</v>
      </c>
      <c r="G165" s="4">
        <f t="shared" si="19"/>
        <v>2217.3424563635317</v>
      </c>
      <c r="H165" s="4">
        <f t="shared" si="20"/>
        <v>3858.7629394433652</v>
      </c>
      <c r="I165" s="4">
        <f>IF($B$2-SUM($G$3:G165)&lt; 0.001,0,$B$2-SUM($G$3:G165))</f>
        <v>753785.19261825737</v>
      </c>
      <c r="J165" s="5">
        <f t="shared" si="21"/>
        <v>5585.0694444444443</v>
      </c>
      <c r="K165" s="5">
        <f t="shared" si="22"/>
        <v>2777.7777777777778</v>
      </c>
      <c r="L165" s="5">
        <f t="shared" si="23"/>
        <v>2807.2916666666742</v>
      </c>
      <c r="M165" s="5">
        <f>IF(E165&lt;=$B$3,$B$2-SUM($K$3:K165),0)</f>
        <v>547222.22222222376</v>
      </c>
      <c r="N165" s="2">
        <v>4.9000000000000004</v>
      </c>
      <c r="O165" s="1">
        <f t="shared" si="24"/>
        <v>6.125</v>
      </c>
      <c r="P165" s="1">
        <f t="shared" si="25"/>
        <v>5.1041666666666666E-3</v>
      </c>
      <c r="Q165" s="1">
        <f t="shared" si="26"/>
        <v>6.2515313091616163</v>
      </c>
    </row>
    <row r="166" spans="5:17" x14ac:dyDescent="0.2">
      <c r="E166" s="1">
        <v>164</v>
      </c>
      <c r="F166" s="4">
        <f t="shared" si="18"/>
        <v>6076.105395806896</v>
      </c>
      <c r="G166" s="4">
        <f t="shared" si="19"/>
        <v>2228.6601418178871</v>
      </c>
      <c r="H166" s="4">
        <f t="shared" si="20"/>
        <v>3847.4452539890099</v>
      </c>
      <c r="I166" s="4">
        <f>IF($B$2-SUM($G$3:G166)&lt; 0.001,0,$B$2-SUM($G$3:G166))</f>
        <v>751556.53247643961</v>
      </c>
      <c r="J166" s="5">
        <f t="shared" si="21"/>
        <v>5570.8912037037044</v>
      </c>
      <c r="K166" s="5">
        <f t="shared" si="22"/>
        <v>2777.7777777777778</v>
      </c>
      <c r="L166" s="5">
        <f t="shared" si="23"/>
        <v>2793.1134259259338</v>
      </c>
      <c r="M166" s="5">
        <f>IF(E166&lt;=$B$3,$B$2-SUM($K$3:K166),0)</f>
        <v>544444.44444444601</v>
      </c>
      <c r="N166" s="2">
        <v>4.9000000000000004</v>
      </c>
      <c r="O166" s="1">
        <f t="shared" si="24"/>
        <v>6.125</v>
      </c>
      <c r="P166" s="1">
        <f t="shared" si="25"/>
        <v>5.1041666666666666E-3</v>
      </c>
      <c r="Q166" s="1">
        <f t="shared" si="26"/>
        <v>6.2515313091616163</v>
      </c>
    </row>
    <row r="167" spans="5:17" x14ac:dyDescent="0.2">
      <c r="E167" s="1">
        <v>165</v>
      </c>
      <c r="F167" s="4">
        <f t="shared" si="18"/>
        <v>6076.105395806896</v>
      </c>
      <c r="G167" s="4">
        <f t="shared" si="19"/>
        <v>2240.035594625082</v>
      </c>
      <c r="H167" s="4">
        <f t="shared" si="20"/>
        <v>3836.0698011818145</v>
      </c>
      <c r="I167" s="4">
        <f>IF($B$2-SUM($G$3:G167)&lt; 0.001,0,$B$2-SUM($G$3:G167))</f>
        <v>749316.49688181444</v>
      </c>
      <c r="J167" s="5">
        <f t="shared" si="21"/>
        <v>5556.7129629629635</v>
      </c>
      <c r="K167" s="5">
        <f t="shared" si="22"/>
        <v>2777.7777777777778</v>
      </c>
      <c r="L167" s="5">
        <f t="shared" si="23"/>
        <v>2778.9351851851929</v>
      </c>
      <c r="M167" s="5">
        <f>IF(E167&lt;=$B$3,$B$2-SUM($K$3:K167),0)</f>
        <v>541666.66666666826</v>
      </c>
      <c r="N167" s="2">
        <v>4.9000000000000004</v>
      </c>
      <c r="O167" s="1">
        <f t="shared" si="24"/>
        <v>6.125</v>
      </c>
      <c r="P167" s="1">
        <f t="shared" si="25"/>
        <v>5.1041666666666666E-3</v>
      </c>
      <c r="Q167" s="1">
        <f t="shared" si="26"/>
        <v>6.2515313091616163</v>
      </c>
    </row>
    <row r="168" spans="5:17" x14ac:dyDescent="0.2">
      <c r="E168" s="1">
        <v>166</v>
      </c>
      <c r="F168" s="4">
        <f t="shared" si="18"/>
        <v>6076.105395806896</v>
      </c>
      <c r="G168" s="4">
        <f t="shared" si="19"/>
        <v>2251.4691096393149</v>
      </c>
      <c r="H168" s="4">
        <f t="shared" si="20"/>
        <v>3824.6362861675821</v>
      </c>
      <c r="I168" s="4">
        <f>IF($B$2-SUM($G$3:G168)&lt; 0.001,0,$B$2-SUM($G$3:G168))</f>
        <v>747065.02777217515</v>
      </c>
      <c r="J168" s="5">
        <f t="shared" si="21"/>
        <v>5542.5347222222226</v>
      </c>
      <c r="K168" s="5">
        <f t="shared" si="22"/>
        <v>2777.7777777777778</v>
      </c>
      <c r="L168" s="5">
        <f t="shared" si="23"/>
        <v>2764.7569444444525</v>
      </c>
      <c r="M168" s="5">
        <f>IF(E168&lt;=$B$3,$B$2-SUM($K$3:K168),0)</f>
        <v>538888.88888889051</v>
      </c>
      <c r="N168" s="2">
        <v>4.9000000000000004</v>
      </c>
      <c r="O168" s="1">
        <f t="shared" si="24"/>
        <v>6.125</v>
      </c>
      <c r="P168" s="1">
        <f t="shared" si="25"/>
        <v>5.1041666666666666E-3</v>
      </c>
      <c r="Q168" s="1">
        <f t="shared" si="26"/>
        <v>6.2515313091616163</v>
      </c>
    </row>
    <row r="169" spans="5:17" x14ac:dyDescent="0.2">
      <c r="E169" s="1">
        <v>167</v>
      </c>
      <c r="F169" s="4">
        <f t="shared" si="18"/>
        <v>6076.105395806896</v>
      </c>
      <c r="G169" s="4">
        <f t="shared" si="19"/>
        <v>2262.9609832197657</v>
      </c>
      <c r="H169" s="4">
        <f t="shared" si="20"/>
        <v>3813.1444125871308</v>
      </c>
      <c r="I169" s="4">
        <f>IF($B$2-SUM($G$3:G169)&lt; 0.001,0,$B$2-SUM($G$3:G169))</f>
        <v>744802.06678895536</v>
      </c>
      <c r="J169" s="5">
        <f t="shared" si="21"/>
        <v>5528.3564814814818</v>
      </c>
      <c r="K169" s="5">
        <f t="shared" si="22"/>
        <v>2777.7777777777778</v>
      </c>
      <c r="L169" s="5">
        <f t="shared" si="23"/>
        <v>2750.5787037037121</v>
      </c>
      <c r="M169" s="5">
        <f>IF(E169&lt;=$B$3,$B$2-SUM($K$3:K169),0)</f>
        <v>536111.11111111275</v>
      </c>
      <c r="N169" s="2">
        <v>4.9000000000000004</v>
      </c>
      <c r="O169" s="1">
        <f t="shared" si="24"/>
        <v>6.125</v>
      </c>
      <c r="P169" s="1">
        <f t="shared" si="25"/>
        <v>5.1041666666666666E-3</v>
      </c>
      <c r="Q169" s="1">
        <f t="shared" si="26"/>
        <v>6.2515313091616163</v>
      </c>
    </row>
    <row r="170" spans="5:17" x14ac:dyDescent="0.2">
      <c r="E170" s="1">
        <v>168</v>
      </c>
      <c r="F170" s="4">
        <f t="shared" si="18"/>
        <v>6076.105395806896</v>
      </c>
      <c r="G170" s="4">
        <f t="shared" si="19"/>
        <v>2274.5115132382834</v>
      </c>
      <c r="H170" s="4">
        <f t="shared" si="20"/>
        <v>3801.593882568613</v>
      </c>
      <c r="I170" s="4">
        <f>IF($B$2-SUM($G$3:G170)&lt; 0.001,0,$B$2-SUM($G$3:G170))</f>
        <v>742527.55527571705</v>
      </c>
      <c r="J170" s="5">
        <f t="shared" si="21"/>
        <v>5514.1782407407409</v>
      </c>
      <c r="K170" s="5">
        <f t="shared" si="22"/>
        <v>2777.7777777777778</v>
      </c>
      <c r="L170" s="5">
        <f t="shared" si="23"/>
        <v>2736.4004629629712</v>
      </c>
      <c r="M170" s="5">
        <f>IF(E170&lt;=$B$3,$B$2-SUM($K$3:K170),0)</f>
        <v>533333.333333335</v>
      </c>
      <c r="N170" s="2">
        <v>4.9000000000000004</v>
      </c>
      <c r="O170" s="1">
        <f t="shared" si="24"/>
        <v>6.125</v>
      </c>
      <c r="P170" s="1">
        <f t="shared" si="25"/>
        <v>5.1041666666666666E-3</v>
      </c>
      <c r="Q170" s="1">
        <f t="shared" si="26"/>
        <v>6.2515313091616163</v>
      </c>
    </row>
    <row r="171" spans="5:17" x14ac:dyDescent="0.2">
      <c r="E171" s="1">
        <v>169</v>
      </c>
      <c r="F171" s="4">
        <f t="shared" si="18"/>
        <v>6076.105395806896</v>
      </c>
      <c r="G171" s="4">
        <f t="shared" si="19"/>
        <v>2286.1209990871039</v>
      </c>
      <c r="H171" s="4">
        <f t="shared" si="20"/>
        <v>3789.9843967197926</v>
      </c>
      <c r="I171" s="4">
        <f>IF($B$2-SUM($G$3:G171)&lt; 0.001,0,$B$2-SUM($G$3:G171))</f>
        <v>740241.43427662994</v>
      </c>
      <c r="J171" s="5">
        <f t="shared" si="21"/>
        <v>5500</v>
      </c>
      <c r="K171" s="5">
        <f t="shared" si="22"/>
        <v>2777.7777777777778</v>
      </c>
      <c r="L171" s="5">
        <f t="shared" si="23"/>
        <v>2722.2222222222308</v>
      </c>
      <c r="M171" s="5">
        <f>IF(E171&lt;=$B$3,$B$2-SUM($K$3:K171),0)</f>
        <v>530555.55555555725</v>
      </c>
      <c r="N171" s="2">
        <v>4.9000000000000004</v>
      </c>
      <c r="O171" s="1">
        <f t="shared" si="24"/>
        <v>6.125</v>
      </c>
      <c r="P171" s="1">
        <f t="shared" si="25"/>
        <v>5.1041666666666666E-3</v>
      </c>
      <c r="Q171" s="1">
        <f t="shared" si="26"/>
        <v>6.2515313091616163</v>
      </c>
    </row>
    <row r="172" spans="5:17" x14ac:dyDescent="0.2">
      <c r="E172" s="1">
        <v>170</v>
      </c>
      <c r="F172" s="4">
        <f t="shared" si="18"/>
        <v>6076.105395806896</v>
      </c>
      <c r="G172" s="4">
        <f t="shared" si="19"/>
        <v>2297.7897416866108</v>
      </c>
      <c r="H172" s="4">
        <f t="shared" si="20"/>
        <v>3778.3156541202857</v>
      </c>
      <c r="I172" s="4">
        <f>IF($B$2-SUM($G$3:G172)&lt; 0.001,0,$B$2-SUM($G$3:G172))</f>
        <v>737943.64453494339</v>
      </c>
      <c r="J172" s="5">
        <f t="shared" si="21"/>
        <v>5485.8217592592591</v>
      </c>
      <c r="K172" s="5">
        <f t="shared" si="22"/>
        <v>2777.7777777777778</v>
      </c>
      <c r="L172" s="5">
        <f t="shared" si="23"/>
        <v>2708.0439814814899</v>
      </c>
      <c r="M172" s="5">
        <f>IF(E172&lt;=$B$3,$B$2-SUM($K$3:K172),0)</f>
        <v>527777.7777777795</v>
      </c>
      <c r="N172" s="2">
        <v>4.9000000000000004</v>
      </c>
      <c r="O172" s="1">
        <f t="shared" si="24"/>
        <v>6.125</v>
      </c>
      <c r="P172" s="1">
        <f t="shared" si="25"/>
        <v>5.1041666666666666E-3</v>
      </c>
      <c r="Q172" s="1">
        <f t="shared" si="26"/>
        <v>6.2515313091616163</v>
      </c>
    </row>
    <row r="173" spans="5:17" x14ac:dyDescent="0.2">
      <c r="E173" s="1">
        <v>171</v>
      </c>
      <c r="F173" s="4">
        <f t="shared" si="18"/>
        <v>6076.105395806896</v>
      </c>
      <c r="G173" s="4">
        <f t="shared" si="19"/>
        <v>2309.5180434931362</v>
      </c>
      <c r="H173" s="4">
        <f t="shared" si="20"/>
        <v>3766.5873523137602</v>
      </c>
      <c r="I173" s="4">
        <f>IF($B$2-SUM($G$3:G173)&lt; 0.001,0,$B$2-SUM($G$3:G173))</f>
        <v>735634.12649145024</v>
      </c>
      <c r="J173" s="5">
        <f t="shared" si="21"/>
        <v>5471.6435185185182</v>
      </c>
      <c r="K173" s="5">
        <f t="shared" si="22"/>
        <v>2777.7777777777778</v>
      </c>
      <c r="L173" s="5">
        <f t="shared" si="23"/>
        <v>2693.8657407407495</v>
      </c>
      <c r="M173" s="5">
        <f>IF(E173&lt;=$B$3,$B$2-SUM($K$3:K173),0)</f>
        <v>525000.00000000175</v>
      </c>
      <c r="N173" s="2">
        <v>4.9000000000000004</v>
      </c>
      <c r="O173" s="1">
        <f t="shared" si="24"/>
        <v>6.125</v>
      </c>
      <c r="P173" s="1">
        <f t="shared" si="25"/>
        <v>5.1041666666666666E-3</v>
      </c>
      <c r="Q173" s="1">
        <f t="shared" si="26"/>
        <v>6.2515313091616163</v>
      </c>
    </row>
    <row r="174" spans="5:17" x14ac:dyDescent="0.2">
      <c r="E174" s="1">
        <v>172</v>
      </c>
      <c r="F174" s="4">
        <f t="shared" si="18"/>
        <v>6076.105395806896</v>
      </c>
      <c r="G174" s="4">
        <f t="shared" si="19"/>
        <v>2321.3062085068</v>
      </c>
      <c r="H174" s="4">
        <f t="shared" si="20"/>
        <v>3754.7991873000965</v>
      </c>
      <c r="I174" s="4">
        <f>IF($B$2-SUM($G$3:G174)&lt; 0.001,0,$B$2-SUM($G$3:G174))</f>
        <v>733312.82028294343</v>
      </c>
      <c r="J174" s="5">
        <f t="shared" si="21"/>
        <v>5457.4652777777774</v>
      </c>
      <c r="K174" s="5">
        <f t="shared" si="22"/>
        <v>2777.7777777777778</v>
      </c>
      <c r="L174" s="5">
        <f t="shared" si="23"/>
        <v>2679.6875000000086</v>
      </c>
      <c r="M174" s="5">
        <f>IF(E174&lt;=$B$3,$B$2-SUM($K$3:K174),0)</f>
        <v>522222.22222222399</v>
      </c>
      <c r="N174" s="2">
        <v>4.9000000000000004</v>
      </c>
      <c r="O174" s="1">
        <f t="shared" si="24"/>
        <v>6.125</v>
      </c>
      <c r="P174" s="1">
        <f t="shared" si="25"/>
        <v>5.1041666666666666E-3</v>
      </c>
      <c r="Q174" s="1">
        <f t="shared" si="26"/>
        <v>6.2515313091616163</v>
      </c>
    </row>
    <row r="175" spans="5:17" x14ac:dyDescent="0.2">
      <c r="E175" s="1">
        <v>173</v>
      </c>
      <c r="F175" s="4">
        <f t="shared" si="18"/>
        <v>6076.105395806896</v>
      </c>
      <c r="G175" s="4">
        <f t="shared" si="19"/>
        <v>2333.1545422793865</v>
      </c>
      <c r="H175" s="4">
        <f t="shared" si="20"/>
        <v>3742.9508535275099</v>
      </c>
      <c r="I175" s="4">
        <f>IF($B$2-SUM($G$3:G175)&lt; 0.001,0,$B$2-SUM($G$3:G175))</f>
        <v>730979.66574066412</v>
      </c>
      <c r="J175" s="5">
        <f t="shared" si="21"/>
        <v>5443.2870370370365</v>
      </c>
      <c r="K175" s="5">
        <f t="shared" si="22"/>
        <v>2777.7777777777778</v>
      </c>
      <c r="L175" s="5">
        <f t="shared" si="23"/>
        <v>2665.5092592592682</v>
      </c>
      <c r="M175" s="5">
        <f>IF(E175&lt;=$B$3,$B$2-SUM($K$3:K175),0)</f>
        <v>519444.44444444624</v>
      </c>
      <c r="N175" s="2">
        <v>4.9000000000000004</v>
      </c>
      <c r="O175" s="1">
        <f t="shared" si="24"/>
        <v>6.125</v>
      </c>
      <c r="P175" s="1">
        <f t="shared" si="25"/>
        <v>5.1041666666666666E-3</v>
      </c>
      <c r="Q175" s="1">
        <f t="shared" si="26"/>
        <v>6.2515313091616163</v>
      </c>
    </row>
    <row r="176" spans="5:17" x14ac:dyDescent="0.2">
      <c r="E176" s="1">
        <v>174</v>
      </c>
      <c r="F176" s="4">
        <f t="shared" si="18"/>
        <v>6076.105395806896</v>
      </c>
      <c r="G176" s="4">
        <f t="shared" si="19"/>
        <v>2345.0633519222711</v>
      </c>
      <c r="H176" s="4">
        <f t="shared" si="20"/>
        <v>3731.0420438846259</v>
      </c>
      <c r="I176" s="4">
        <f>IF($B$2-SUM($G$3:G176)&lt; 0.001,0,$B$2-SUM($G$3:G176))</f>
        <v>728634.6023887418</v>
      </c>
      <c r="J176" s="5">
        <f t="shared" si="21"/>
        <v>5429.1087962962956</v>
      </c>
      <c r="K176" s="5">
        <f t="shared" si="22"/>
        <v>2777.7777777777778</v>
      </c>
      <c r="L176" s="5">
        <f t="shared" si="23"/>
        <v>2651.3310185185278</v>
      </c>
      <c r="M176" s="5">
        <f>IF(E176&lt;=$B$3,$B$2-SUM($K$3:K176),0)</f>
        <v>516666.66666666849</v>
      </c>
      <c r="N176" s="2">
        <v>4.9000000000000004</v>
      </c>
      <c r="O176" s="1">
        <f t="shared" si="24"/>
        <v>6.125</v>
      </c>
      <c r="P176" s="1">
        <f t="shared" si="25"/>
        <v>5.1041666666666666E-3</v>
      </c>
      <c r="Q176" s="1">
        <f t="shared" si="26"/>
        <v>6.2515313091616163</v>
      </c>
    </row>
    <row r="177" spans="5:17" x14ac:dyDescent="0.2">
      <c r="E177" s="1">
        <v>175</v>
      </c>
      <c r="F177" s="4">
        <f t="shared" si="18"/>
        <v>6076.105395806896</v>
      </c>
      <c r="G177" s="4">
        <f t="shared" si="19"/>
        <v>2357.0329461143747</v>
      </c>
      <c r="H177" s="4">
        <f t="shared" si="20"/>
        <v>3719.0724496925218</v>
      </c>
      <c r="I177" s="4">
        <f>IF($B$2-SUM($G$3:G177)&lt; 0.001,0,$B$2-SUM($G$3:G177))</f>
        <v>726277.56944262749</v>
      </c>
      <c r="J177" s="5">
        <f t="shared" si="21"/>
        <v>5414.9305555555557</v>
      </c>
      <c r="K177" s="5">
        <f t="shared" si="22"/>
        <v>2777.7777777777778</v>
      </c>
      <c r="L177" s="5">
        <f t="shared" si="23"/>
        <v>2637.1527777777869</v>
      </c>
      <c r="M177" s="5">
        <f>IF(E177&lt;=$B$3,$B$2-SUM($K$3:K177),0)</f>
        <v>513888.88888889074</v>
      </c>
      <c r="N177" s="2">
        <v>4.9000000000000004</v>
      </c>
      <c r="O177" s="1">
        <f t="shared" si="24"/>
        <v>6.125</v>
      </c>
      <c r="P177" s="1">
        <f t="shared" si="25"/>
        <v>5.1041666666666666E-3</v>
      </c>
      <c r="Q177" s="1">
        <f t="shared" si="26"/>
        <v>6.2515313091616163</v>
      </c>
    </row>
    <row r="178" spans="5:17" x14ac:dyDescent="0.2">
      <c r="E178" s="1">
        <v>176</v>
      </c>
      <c r="F178" s="4">
        <f t="shared" si="18"/>
        <v>6076.105395806896</v>
      </c>
      <c r="G178" s="4">
        <f t="shared" si="19"/>
        <v>2369.0636351101671</v>
      </c>
      <c r="H178" s="4">
        <f t="shared" si="20"/>
        <v>3707.0417606967294</v>
      </c>
      <c r="I178" s="4">
        <f>IF($B$2-SUM($G$3:G178)&lt; 0.001,0,$B$2-SUM($G$3:G178))</f>
        <v>723908.50580751733</v>
      </c>
      <c r="J178" s="5">
        <f t="shared" si="21"/>
        <v>5400.7523148148148</v>
      </c>
      <c r="K178" s="5">
        <f t="shared" si="22"/>
        <v>2777.7777777777778</v>
      </c>
      <c r="L178" s="5">
        <f t="shared" si="23"/>
        <v>2622.9745370370465</v>
      </c>
      <c r="M178" s="5">
        <f>IF(E178&lt;=$B$3,$B$2-SUM($K$3:K178),0)</f>
        <v>511111.11111111299</v>
      </c>
      <c r="N178" s="2">
        <v>4.9000000000000004</v>
      </c>
      <c r="O178" s="1">
        <f t="shared" si="24"/>
        <v>6.125</v>
      </c>
      <c r="P178" s="1">
        <f t="shared" si="25"/>
        <v>5.1041666666666666E-3</v>
      </c>
      <c r="Q178" s="1">
        <f t="shared" si="26"/>
        <v>6.2515313091616163</v>
      </c>
    </row>
    <row r="179" spans="5:17" x14ac:dyDescent="0.2">
      <c r="E179" s="1">
        <v>177</v>
      </c>
      <c r="F179" s="4">
        <f t="shared" si="18"/>
        <v>6076.105395806896</v>
      </c>
      <c r="G179" s="4">
        <f t="shared" si="19"/>
        <v>2381.1557307477083</v>
      </c>
      <c r="H179" s="4">
        <f t="shared" si="20"/>
        <v>3694.9496650591882</v>
      </c>
      <c r="I179" s="4">
        <f>IF($B$2-SUM($G$3:G179)&lt; 0.001,0,$B$2-SUM($G$3:G179))</f>
        <v>721527.35007676948</v>
      </c>
      <c r="J179" s="5">
        <f t="shared" si="21"/>
        <v>5386.5740740740748</v>
      </c>
      <c r="K179" s="5">
        <f t="shared" si="22"/>
        <v>2777.7777777777778</v>
      </c>
      <c r="L179" s="5">
        <f t="shared" si="23"/>
        <v>2608.7962962963056</v>
      </c>
      <c r="M179" s="5">
        <f>IF(E179&lt;=$B$3,$B$2-SUM($K$3:K179),0)</f>
        <v>508333.33333333523</v>
      </c>
      <c r="N179" s="2">
        <v>4.9000000000000004</v>
      </c>
      <c r="O179" s="1">
        <f t="shared" si="24"/>
        <v>6.125</v>
      </c>
      <c r="P179" s="1">
        <f t="shared" si="25"/>
        <v>5.1041666666666666E-3</v>
      </c>
      <c r="Q179" s="1">
        <f t="shared" si="26"/>
        <v>6.2515313091616163</v>
      </c>
    </row>
    <row r="180" spans="5:17" x14ac:dyDescent="0.2">
      <c r="E180" s="1">
        <v>178</v>
      </c>
      <c r="F180" s="4">
        <f t="shared" si="18"/>
        <v>6076.105395806896</v>
      </c>
      <c r="G180" s="4">
        <f t="shared" si="19"/>
        <v>2393.3095464567327</v>
      </c>
      <c r="H180" s="4">
        <f t="shared" si="20"/>
        <v>3682.7958493501633</v>
      </c>
      <c r="I180" s="4">
        <f>IF($B$2-SUM($G$3:G180)&lt; 0.001,0,$B$2-SUM($G$3:G180))</f>
        <v>719134.04053031281</v>
      </c>
      <c r="J180" s="5">
        <f t="shared" si="21"/>
        <v>5372.395833333333</v>
      </c>
      <c r="K180" s="5">
        <f t="shared" si="22"/>
        <v>2777.7777777777778</v>
      </c>
      <c r="L180" s="5">
        <f t="shared" si="23"/>
        <v>2594.6180555555652</v>
      </c>
      <c r="M180" s="5">
        <f>IF(E180&lt;=$B$3,$B$2-SUM($K$3:K180),0)</f>
        <v>505555.55555555748</v>
      </c>
      <c r="N180" s="2">
        <v>4.9000000000000004</v>
      </c>
      <c r="O180" s="1">
        <f t="shared" si="24"/>
        <v>6.125</v>
      </c>
      <c r="P180" s="1">
        <f t="shared" si="25"/>
        <v>5.1041666666666666E-3</v>
      </c>
      <c r="Q180" s="1">
        <f t="shared" si="26"/>
        <v>6.2515313091616163</v>
      </c>
    </row>
    <row r="181" spans="5:17" x14ac:dyDescent="0.2">
      <c r="E181" s="1">
        <v>179</v>
      </c>
      <c r="F181" s="4">
        <f t="shared" si="18"/>
        <v>6076.105395806896</v>
      </c>
      <c r="G181" s="4">
        <f t="shared" si="19"/>
        <v>2405.5253972667724</v>
      </c>
      <c r="H181" s="4">
        <f t="shared" si="20"/>
        <v>3670.5799985401236</v>
      </c>
      <c r="I181" s="4">
        <f>IF($B$2-SUM($G$3:G181)&lt; 0.001,0,$B$2-SUM($G$3:G181))</f>
        <v>716728.51513304608</v>
      </c>
      <c r="J181" s="5">
        <f t="shared" si="21"/>
        <v>5358.2175925925931</v>
      </c>
      <c r="K181" s="5">
        <f t="shared" si="22"/>
        <v>2777.7777777777778</v>
      </c>
      <c r="L181" s="5">
        <f t="shared" si="23"/>
        <v>2580.4398148148248</v>
      </c>
      <c r="M181" s="5">
        <f>IF(E181&lt;=$B$3,$B$2-SUM($K$3:K181),0)</f>
        <v>502777.77777777973</v>
      </c>
      <c r="N181" s="2">
        <v>4.9000000000000004</v>
      </c>
      <c r="O181" s="1">
        <f t="shared" si="24"/>
        <v>6.125</v>
      </c>
      <c r="P181" s="1">
        <f t="shared" si="25"/>
        <v>5.1041666666666666E-3</v>
      </c>
      <c r="Q181" s="1">
        <f t="shared" si="26"/>
        <v>6.2515313091616163</v>
      </c>
    </row>
    <row r="182" spans="5:17" x14ac:dyDescent="0.2">
      <c r="E182" s="1">
        <v>180</v>
      </c>
      <c r="F182" s="4">
        <f t="shared" si="18"/>
        <v>6076.105395806896</v>
      </c>
      <c r="G182" s="4">
        <f t="shared" si="19"/>
        <v>2417.8035998153223</v>
      </c>
      <c r="H182" s="4">
        <f t="shared" si="20"/>
        <v>3658.3017959915742</v>
      </c>
      <c r="I182" s="4">
        <f>IF($B$2-SUM($G$3:G182)&lt; 0.001,0,$B$2-SUM($G$3:G182))</f>
        <v>714310.71153323073</v>
      </c>
      <c r="J182" s="5">
        <f t="shared" si="21"/>
        <v>5344.0393518518522</v>
      </c>
      <c r="K182" s="5">
        <f t="shared" si="22"/>
        <v>2777.7777777777778</v>
      </c>
      <c r="L182" s="5">
        <f t="shared" si="23"/>
        <v>2566.2615740740839</v>
      </c>
      <c r="M182" s="5">
        <f>IF(E182&lt;=$B$3,$B$2-SUM($K$3:K182),0)</f>
        <v>500000.00000000198</v>
      </c>
      <c r="N182" s="2">
        <v>4.9000000000000004</v>
      </c>
      <c r="O182" s="1">
        <f t="shared" si="24"/>
        <v>6.125</v>
      </c>
      <c r="P182" s="1">
        <f t="shared" si="25"/>
        <v>5.1041666666666666E-3</v>
      </c>
      <c r="Q182" s="1">
        <f t="shared" si="26"/>
        <v>6.2515313091616163</v>
      </c>
    </row>
    <row r="183" spans="5:17" x14ac:dyDescent="0.2">
      <c r="E183" s="1">
        <v>181</v>
      </c>
      <c r="F183" s="4">
        <f t="shared" si="18"/>
        <v>6076.105395806896</v>
      </c>
      <c r="G183" s="4">
        <f t="shared" si="19"/>
        <v>2430.1444723560462</v>
      </c>
      <c r="H183" s="4">
        <f t="shared" si="20"/>
        <v>3645.9609234508503</v>
      </c>
      <c r="I183" s="4">
        <f>IF($B$2-SUM($G$3:G183)&lt; 0.001,0,$B$2-SUM($G$3:G183))</f>
        <v>711880.56706087454</v>
      </c>
      <c r="J183" s="5">
        <f t="shared" si="21"/>
        <v>5329.8611111111113</v>
      </c>
      <c r="K183" s="5">
        <f t="shared" si="22"/>
        <v>2777.7777777777778</v>
      </c>
      <c r="L183" s="5">
        <f t="shared" si="23"/>
        <v>2552.0833333333435</v>
      </c>
      <c r="M183" s="5">
        <f>IF(E183&lt;=$B$3,$B$2-SUM($K$3:K183),0)</f>
        <v>497222.22222222423</v>
      </c>
      <c r="N183" s="2">
        <v>4.9000000000000004</v>
      </c>
      <c r="O183" s="1">
        <f t="shared" si="24"/>
        <v>6.125</v>
      </c>
      <c r="P183" s="1">
        <f t="shared" si="25"/>
        <v>5.1041666666666666E-3</v>
      </c>
      <c r="Q183" s="1">
        <f t="shared" si="26"/>
        <v>6.2515313091616163</v>
      </c>
    </row>
    <row r="184" spans="5:17" x14ac:dyDescent="0.2">
      <c r="E184" s="1">
        <v>182</v>
      </c>
      <c r="F184" s="4">
        <f t="shared" si="18"/>
        <v>6076.105395806896</v>
      </c>
      <c r="G184" s="4">
        <f t="shared" si="19"/>
        <v>2442.5483347670302</v>
      </c>
      <c r="H184" s="4">
        <f t="shared" si="20"/>
        <v>3633.5570610398663</v>
      </c>
      <c r="I184" s="4">
        <f>IF($B$2-SUM($G$3:G184)&lt; 0.001,0,$B$2-SUM($G$3:G184))</f>
        <v>709438.01872610755</v>
      </c>
      <c r="J184" s="5">
        <f t="shared" si="21"/>
        <v>5315.6828703703704</v>
      </c>
      <c r="K184" s="5">
        <f t="shared" si="22"/>
        <v>2777.7777777777778</v>
      </c>
      <c r="L184" s="5">
        <f t="shared" si="23"/>
        <v>2537.9050925926026</v>
      </c>
      <c r="M184" s="5">
        <f>IF(E184&lt;=$B$3,$B$2-SUM($K$3:K184),0)</f>
        <v>494444.44444444648</v>
      </c>
      <c r="N184" s="2">
        <v>4.9000000000000004</v>
      </c>
      <c r="O184" s="1">
        <f t="shared" si="24"/>
        <v>6.125</v>
      </c>
      <c r="P184" s="1">
        <f t="shared" si="25"/>
        <v>5.1041666666666666E-3</v>
      </c>
      <c r="Q184" s="1">
        <f t="shared" si="26"/>
        <v>6.2515313091616163</v>
      </c>
    </row>
    <row r="185" spans="5:17" x14ac:dyDescent="0.2">
      <c r="E185" s="1">
        <v>183</v>
      </c>
      <c r="F185" s="4">
        <f t="shared" si="18"/>
        <v>6076.105395806896</v>
      </c>
      <c r="G185" s="4">
        <f t="shared" si="19"/>
        <v>2455.0155085590709</v>
      </c>
      <c r="H185" s="4">
        <f t="shared" si="20"/>
        <v>3621.0898872478251</v>
      </c>
      <c r="I185" s="4">
        <f>IF($B$2-SUM($G$3:G185)&lt; 0.001,0,$B$2-SUM($G$3:G185))</f>
        <v>706983.00321754848</v>
      </c>
      <c r="J185" s="5">
        <f t="shared" si="21"/>
        <v>5301.5046296296296</v>
      </c>
      <c r="K185" s="5">
        <f t="shared" si="22"/>
        <v>2777.7777777777778</v>
      </c>
      <c r="L185" s="5">
        <f t="shared" si="23"/>
        <v>2523.7268518518622</v>
      </c>
      <c r="M185" s="5">
        <f>IF(E185&lt;=$B$3,$B$2-SUM($K$3:K185),0)</f>
        <v>491666.66666666872</v>
      </c>
      <c r="N185" s="2">
        <v>4.9000000000000004</v>
      </c>
      <c r="O185" s="1">
        <f t="shared" si="24"/>
        <v>6.125</v>
      </c>
      <c r="P185" s="1">
        <f t="shared" si="25"/>
        <v>5.1041666666666666E-3</v>
      </c>
      <c r="Q185" s="1">
        <f t="shared" si="26"/>
        <v>6.2515313091616163</v>
      </c>
    </row>
    <row r="186" spans="5:17" x14ac:dyDescent="0.2">
      <c r="E186" s="1">
        <v>184</v>
      </c>
      <c r="F186" s="4">
        <f t="shared" si="18"/>
        <v>6076.105395806896</v>
      </c>
      <c r="G186" s="4">
        <f t="shared" si="19"/>
        <v>2467.5463168840079</v>
      </c>
      <c r="H186" s="4">
        <f t="shared" si="20"/>
        <v>3608.5590789228886</v>
      </c>
      <c r="I186" s="4">
        <f>IF($B$2-SUM($G$3:G186)&lt; 0.001,0,$B$2-SUM($G$3:G186))</f>
        <v>704515.45690066449</v>
      </c>
      <c r="J186" s="5">
        <f t="shared" si="21"/>
        <v>5287.3263888888887</v>
      </c>
      <c r="K186" s="5">
        <f t="shared" si="22"/>
        <v>2777.7777777777778</v>
      </c>
      <c r="L186" s="5">
        <f t="shared" si="23"/>
        <v>2509.5486111111218</v>
      </c>
      <c r="M186" s="5">
        <f>IF(E186&lt;=$B$3,$B$2-SUM($K$3:K186),0)</f>
        <v>488888.88888889097</v>
      </c>
      <c r="N186" s="2">
        <v>4.9000000000000004</v>
      </c>
      <c r="O186" s="1">
        <f t="shared" si="24"/>
        <v>6.125</v>
      </c>
      <c r="P186" s="1">
        <f t="shared" si="25"/>
        <v>5.1041666666666666E-3</v>
      </c>
      <c r="Q186" s="1">
        <f t="shared" si="26"/>
        <v>6.2515313091616163</v>
      </c>
    </row>
    <row r="187" spans="5:17" x14ac:dyDescent="0.2">
      <c r="E187" s="1">
        <v>185</v>
      </c>
      <c r="F187" s="4">
        <f t="shared" si="18"/>
        <v>6076.105395806896</v>
      </c>
      <c r="G187" s="4">
        <f t="shared" si="19"/>
        <v>2480.1410845431028</v>
      </c>
      <c r="H187" s="4">
        <f t="shared" si="20"/>
        <v>3595.9643112637932</v>
      </c>
      <c r="I187" s="4">
        <f>IF($B$2-SUM($G$3:G187)&lt; 0.001,0,$B$2-SUM($G$3:G187))</f>
        <v>702035.31581612141</v>
      </c>
      <c r="J187" s="5">
        <f t="shared" si="21"/>
        <v>5273.1481481481478</v>
      </c>
      <c r="K187" s="5">
        <f t="shared" si="22"/>
        <v>2777.7777777777778</v>
      </c>
      <c r="L187" s="5">
        <f t="shared" si="23"/>
        <v>2495.3703703703809</v>
      </c>
      <c r="M187" s="5">
        <f>IF(E187&lt;=$B$3,$B$2-SUM($K$3:K187),0)</f>
        <v>486111.11111111322</v>
      </c>
      <c r="N187" s="2">
        <v>4.9000000000000004</v>
      </c>
      <c r="O187" s="1">
        <f t="shared" si="24"/>
        <v>6.125</v>
      </c>
      <c r="P187" s="1">
        <f t="shared" si="25"/>
        <v>5.1041666666666666E-3</v>
      </c>
      <c r="Q187" s="1">
        <f t="shared" si="26"/>
        <v>6.2515313091616163</v>
      </c>
    </row>
    <row r="188" spans="5:17" x14ac:dyDescent="0.2">
      <c r="E188" s="1">
        <v>186</v>
      </c>
      <c r="F188" s="4">
        <f t="shared" si="18"/>
        <v>6076.105395806896</v>
      </c>
      <c r="G188" s="4">
        <f t="shared" si="19"/>
        <v>2492.800137995459</v>
      </c>
      <c r="H188" s="4">
        <f t="shared" si="20"/>
        <v>3583.3052578114371</v>
      </c>
      <c r="I188" s="4">
        <f>IF($B$2-SUM($G$3:G188)&lt; 0.001,0,$B$2-SUM($G$3:G188))</f>
        <v>699542.5156781259</v>
      </c>
      <c r="J188" s="5">
        <f t="shared" si="21"/>
        <v>5258.9699074074069</v>
      </c>
      <c r="K188" s="5">
        <f t="shared" si="22"/>
        <v>2777.7777777777778</v>
      </c>
      <c r="L188" s="5">
        <f t="shared" si="23"/>
        <v>2481.1921296296405</v>
      </c>
      <c r="M188" s="5">
        <f>IF(E188&lt;=$B$3,$B$2-SUM($K$3:K188),0)</f>
        <v>483333.33333333547</v>
      </c>
      <c r="N188" s="2">
        <v>4.9000000000000004</v>
      </c>
      <c r="O188" s="1">
        <f t="shared" si="24"/>
        <v>6.125</v>
      </c>
      <c r="P188" s="1">
        <f t="shared" si="25"/>
        <v>5.1041666666666666E-3</v>
      </c>
      <c r="Q188" s="1">
        <f t="shared" si="26"/>
        <v>6.2515313091616163</v>
      </c>
    </row>
    <row r="189" spans="5:17" x14ac:dyDescent="0.2">
      <c r="E189" s="1">
        <v>187</v>
      </c>
      <c r="F189" s="4">
        <f t="shared" si="18"/>
        <v>6076.105395806896</v>
      </c>
      <c r="G189" s="4">
        <f t="shared" si="19"/>
        <v>2505.5238053664775</v>
      </c>
      <c r="H189" s="4">
        <f t="shared" si="20"/>
        <v>3570.5815904404189</v>
      </c>
      <c r="I189" s="4">
        <f>IF($B$2-SUM($G$3:G189)&lt; 0.001,0,$B$2-SUM($G$3:G189))</f>
        <v>697036.99187275954</v>
      </c>
      <c r="J189" s="5">
        <f t="shared" si="21"/>
        <v>5244.7916666666661</v>
      </c>
      <c r="K189" s="5">
        <f t="shared" si="22"/>
        <v>2777.7777777777778</v>
      </c>
      <c r="L189" s="5">
        <f t="shared" si="23"/>
        <v>2467.0138888888996</v>
      </c>
      <c r="M189" s="5">
        <f>IF(E189&lt;=$B$3,$B$2-SUM($K$3:K189),0)</f>
        <v>480555.55555555772</v>
      </c>
      <c r="N189" s="2">
        <v>4.9000000000000004</v>
      </c>
      <c r="O189" s="1">
        <f t="shared" si="24"/>
        <v>6.125</v>
      </c>
      <c r="P189" s="1">
        <f t="shared" si="25"/>
        <v>5.1041666666666666E-3</v>
      </c>
      <c r="Q189" s="1">
        <f t="shared" si="26"/>
        <v>6.2515313091616163</v>
      </c>
    </row>
    <row r="190" spans="5:17" x14ac:dyDescent="0.2">
      <c r="E190" s="1">
        <v>188</v>
      </c>
      <c r="F190" s="4">
        <f t="shared" si="18"/>
        <v>6076.105395806896</v>
      </c>
      <c r="G190" s="4">
        <f t="shared" si="19"/>
        <v>2518.3124164563692</v>
      </c>
      <c r="H190" s="4">
        <f t="shared" si="20"/>
        <v>3557.7929793505277</v>
      </c>
      <c r="I190" s="4">
        <f>IF($B$2-SUM($G$3:G190)&lt; 0.001,0,$B$2-SUM($G$3:G190))</f>
        <v>694518.67945630313</v>
      </c>
      <c r="J190" s="5">
        <f t="shared" si="21"/>
        <v>5230.6134259259261</v>
      </c>
      <c r="K190" s="5">
        <f t="shared" si="22"/>
        <v>2777.7777777777778</v>
      </c>
      <c r="L190" s="5">
        <f t="shared" si="23"/>
        <v>2452.8356481481592</v>
      </c>
      <c r="M190" s="5">
        <f>IF(E190&lt;=$B$3,$B$2-SUM($K$3:K190),0)</f>
        <v>477777.77777777996</v>
      </c>
      <c r="N190" s="2">
        <v>4.9000000000000004</v>
      </c>
      <c r="O190" s="1">
        <f t="shared" si="24"/>
        <v>6.125</v>
      </c>
      <c r="P190" s="1">
        <f t="shared" si="25"/>
        <v>5.1041666666666666E-3</v>
      </c>
      <c r="Q190" s="1">
        <f t="shared" si="26"/>
        <v>6.2515313091616163</v>
      </c>
    </row>
    <row r="191" spans="5:17" x14ac:dyDescent="0.2">
      <c r="E191" s="1">
        <v>189</v>
      </c>
      <c r="F191" s="4">
        <f t="shared" si="18"/>
        <v>6076.105395806896</v>
      </c>
      <c r="G191" s="4">
        <f t="shared" si="19"/>
        <v>2531.1663027486984</v>
      </c>
      <c r="H191" s="4">
        <f t="shared" si="20"/>
        <v>3544.9390930581981</v>
      </c>
      <c r="I191" s="4">
        <f>IF($B$2-SUM($G$3:G191)&lt; 0.001,0,$B$2-SUM($G$3:G191))</f>
        <v>691987.51315355441</v>
      </c>
      <c r="J191" s="5">
        <f t="shared" si="21"/>
        <v>5216.4351851851852</v>
      </c>
      <c r="K191" s="5">
        <f t="shared" si="22"/>
        <v>2777.7777777777778</v>
      </c>
      <c r="L191" s="5">
        <f t="shared" si="23"/>
        <v>2438.6574074074183</v>
      </c>
      <c r="M191" s="5">
        <f>IF(E191&lt;=$B$3,$B$2-SUM($K$3:K191),0)</f>
        <v>475000.00000000221</v>
      </c>
      <c r="N191" s="2">
        <v>4.9000000000000004</v>
      </c>
      <c r="O191" s="1">
        <f t="shared" si="24"/>
        <v>6.125</v>
      </c>
      <c r="P191" s="1">
        <f t="shared" si="25"/>
        <v>5.1041666666666666E-3</v>
      </c>
      <c r="Q191" s="1">
        <f t="shared" si="26"/>
        <v>6.2515313091616163</v>
      </c>
    </row>
    <row r="192" spans="5:17" x14ac:dyDescent="0.2">
      <c r="E192" s="1">
        <v>190</v>
      </c>
      <c r="F192" s="4">
        <f t="shared" si="18"/>
        <v>6076.105395806896</v>
      </c>
      <c r="G192" s="4">
        <f t="shared" si="19"/>
        <v>2544.085797418978</v>
      </c>
      <c r="H192" s="4">
        <f t="shared" si="20"/>
        <v>3532.0195983879184</v>
      </c>
      <c r="I192" s="4">
        <f>IF($B$2-SUM($G$3:G192)&lt; 0.001,0,$B$2-SUM($G$3:G192))</f>
        <v>689443.42735613545</v>
      </c>
      <c r="J192" s="5">
        <f t="shared" si="21"/>
        <v>5202.2569444444443</v>
      </c>
      <c r="K192" s="5">
        <f t="shared" si="22"/>
        <v>2777.7777777777778</v>
      </c>
      <c r="L192" s="5">
        <f t="shared" si="23"/>
        <v>2424.4791666666779</v>
      </c>
      <c r="M192" s="5">
        <f>IF(E192&lt;=$B$3,$B$2-SUM($K$3:K192),0)</f>
        <v>472222.22222222446</v>
      </c>
      <c r="N192" s="2">
        <v>4.9000000000000004</v>
      </c>
      <c r="O192" s="1">
        <f t="shared" si="24"/>
        <v>6.125</v>
      </c>
      <c r="P192" s="1">
        <f t="shared" si="25"/>
        <v>5.1041666666666666E-3</v>
      </c>
      <c r="Q192" s="1">
        <f t="shared" si="26"/>
        <v>6.2515313091616163</v>
      </c>
    </row>
    <row r="193" spans="5:17" x14ac:dyDescent="0.2">
      <c r="E193" s="1">
        <v>191</v>
      </c>
      <c r="F193" s="4">
        <f t="shared" si="18"/>
        <v>6076.105395806896</v>
      </c>
      <c r="G193" s="4">
        <f t="shared" si="19"/>
        <v>2557.0712353433046</v>
      </c>
      <c r="H193" s="4">
        <f t="shared" si="20"/>
        <v>3519.0341604635914</v>
      </c>
      <c r="I193" s="4">
        <f>IF($B$2-SUM($G$3:G193)&lt; 0.001,0,$B$2-SUM($G$3:G193))</f>
        <v>686886.35612079222</v>
      </c>
      <c r="J193" s="5">
        <f t="shared" si="21"/>
        <v>5188.0787037037044</v>
      </c>
      <c r="K193" s="5">
        <f t="shared" si="22"/>
        <v>2777.7777777777778</v>
      </c>
      <c r="L193" s="5">
        <f t="shared" si="23"/>
        <v>2410.3009259259375</v>
      </c>
      <c r="M193" s="5">
        <f>IF(E193&lt;=$B$3,$B$2-SUM($K$3:K193),0)</f>
        <v>469444.44444444671</v>
      </c>
      <c r="N193" s="2">
        <v>4.9000000000000004</v>
      </c>
      <c r="O193" s="1">
        <f t="shared" si="24"/>
        <v>6.125</v>
      </c>
      <c r="P193" s="1">
        <f t="shared" si="25"/>
        <v>5.1041666666666666E-3</v>
      </c>
      <c r="Q193" s="1">
        <f t="shared" si="26"/>
        <v>6.2515313091616163</v>
      </c>
    </row>
    <row r="194" spans="5:17" x14ac:dyDescent="0.2">
      <c r="E194" s="1">
        <v>192</v>
      </c>
      <c r="F194" s="4">
        <f t="shared" si="18"/>
        <v>6076.105395806896</v>
      </c>
      <c r="G194" s="4">
        <f t="shared" si="19"/>
        <v>2570.1229531070362</v>
      </c>
      <c r="H194" s="4">
        <f t="shared" si="20"/>
        <v>3505.9824426998598</v>
      </c>
      <c r="I194" s="4">
        <f>IF($B$2-SUM($G$3:G194)&lt; 0.001,0,$B$2-SUM($G$3:G194))</f>
        <v>684316.2331676851</v>
      </c>
      <c r="J194" s="5">
        <f t="shared" si="21"/>
        <v>5173.9004629629626</v>
      </c>
      <c r="K194" s="5">
        <f t="shared" si="22"/>
        <v>2777.7777777777778</v>
      </c>
      <c r="L194" s="5">
        <f t="shared" si="23"/>
        <v>2396.1226851851966</v>
      </c>
      <c r="M194" s="5">
        <f>IF(E194&lt;=$B$3,$B$2-SUM($K$3:K194),0)</f>
        <v>466666.66666666896</v>
      </c>
      <c r="N194" s="2">
        <v>4.9000000000000004</v>
      </c>
      <c r="O194" s="1">
        <f t="shared" si="24"/>
        <v>6.125</v>
      </c>
      <c r="P194" s="1">
        <f t="shared" si="25"/>
        <v>5.1041666666666666E-3</v>
      </c>
      <c r="Q194" s="1">
        <f t="shared" si="26"/>
        <v>6.2515313091616163</v>
      </c>
    </row>
    <row r="195" spans="5:17" x14ac:dyDescent="0.2">
      <c r="E195" s="1">
        <v>193</v>
      </c>
      <c r="F195" s="4">
        <f t="shared" ref="F195:F258" si="27">IF(E195&lt;=$B$3, $B$2*P195*Q195/(Q195-1), 0)</f>
        <v>6076.105395806896</v>
      </c>
      <c r="G195" s="4">
        <f t="shared" ref="G195:G258" si="28">IF(E195&lt;=$B$3,$B$2*P195*POWER((1+P195),(E195-1))/(Q195-1),0)</f>
        <v>2583.2412890135201</v>
      </c>
      <c r="H195" s="4">
        <f t="shared" ref="H195:H258" si="29">IF(E195&lt;=$B$3,$B$2*P195*(Q195-POWER((1+P195),(E195-1)))/(Q195-1),0)</f>
        <v>3492.8641067933768</v>
      </c>
      <c r="I195" s="4">
        <f>IF($B$2-SUM($G$3:G195)&lt; 0.001,0,$B$2-SUM($G$3:G195))</f>
        <v>681732.99187867157</v>
      </c>
      <c r="J195" s="5">
        <f t="shared" ref="J195:J258" si="30">IF(E195&lt;=$B$3, ($B$2/$B$3)+($B$2 - ($B$2/$B$3) * (E195-1))*P195,0)</f>
        <v>5159.7222222222226</v>
      </c>
      <c r="K195" s="5">
        <f t="shared" ref="K195:K258" si="31">IF(E195&lt;=$B$3,$B$2/$B$3,0)</f>
        <v>2777.7777777777778</v>
      </c>
      <c r="L195" s="5">
        <f t="shared" si="23"/>
        <v>2381.9444444444562</v>
      </c>
      <c r="M195" s="5">
        <f>IF(E195&lt;=$B$3,$B$2-SUM($K$3:K195),0)</f>
        <v>463888.8888888912</v>
      </c>
      <c r="N195" s="2">
        <v>4.9000000000000004</v>
      </c>
      <c r="O195" s="1">
        <f t="shared" si="24"/>
        <v>6.125</v>
      </c>
      <c r="P195" s="1">
        <f t="shared" si="25"/>
        <v>5.1041666666666666E-3</v>
      </c>
      <c r="Q195" s="1">
        <f t="shared" si="26"/>
        <v>6.2515313091616163</v>
      </c>
    </row>
    <row r="196" spans="5:17" x14ac:dyDescent="0.2">
      <c r="E196" s="1">
        <v>194</v>
      </c>
      <c r="F196" s="4">
        <f t="shared" si="27"/>
        <v>6076.105395806896</v>
      </c>
      <c r="G196" s="4">
        <f t="shared" si="28"/>
        <v>2596.4265830928598</v>
      </c>
      <c r="H196" s="4">
        <f t="shared" si="29"/>
        <v>3479.6788127140362</v>
      </c>
      <c r="I196" s="4">
        <f>IF($B$2-SUM($G$3:G196)&lt; 0.001,0,$B$2-SUM($G$3:G196))</f>
        <v>679136.56529557868</v>
      </c>
      <c r="J196" s="5">
        <f t="shared" si="30"/>
        <v>5145.5439814814818</v>
      </c>
      <c r="K196" s="5">
        <f t="shared" si="31"/>
        <v>2777.7777777777778</v>
      </c>
      <c r="L196" s="5">
        <f t="shared" ref="L196:L259" si="32">(K196+M196)*P196</f>
        <v>2367.7662037037153</v>
      </c>
      <c r="M196" s="5">
        <f>IF(E196&lt;=$B$3,$B$2-SUM($K$3:K196),0)</f>
        <v>461111.11111111345</v>
      </c>
      <c r="N196" s="2">
        <v>4.9000000000000004</v>
      </c>
      <c r="O196" s="1">
        <f t="shared" ref="O196:O259" si="33">N196*$B$4/100</f>
        <v>6.125</v>
      </c>
      <c r="P196" s="1">
        <f t="shared" ref="P196:P259" si="34">O196/1200</f>
        <v>5.1041666666666666E-3</v>
      </c>
      <c r="Q196" s="1">
        <f t="shared" ref="Q196:Q259" si="35">POWER((1+P196),$B$3)</f>
        <v>6.2515313091616163</v>
      </c>
    </row>
    <row r="197" spans="5:17" x14ac:dyDescent="0.2">
      <c r="E197" s="1">
        <v>195</v>
      </c>
      <c r="F197" s="4">
        <f t="shared" si="27"/>
        <v>6076.105395806896</v>
      </c>
      <c r="G197" s="4">
        <f t="shared" si="28"/>
        <v>2609.6791771107301</v>
      </c>
      <c r="H197" s="4">
        <f t="shared" si="29"/>
        <v>3466.4262186961664</v>
      </c>
      <c r="I197" s="4">
        <f>IF($B$2-SUM($G$3:G197)&lt; 0.001,0,$B$2-SUM($G$3:G197))</f>
        <v>676526.88611846801</v>
      </c>
      <c r="J197" s="5">
        <f t="shared" si="30"/>
        <v>5131.3657407407409</v>
      </c>
      <c r="K197" s="5">
        <f t="shared" si="31"/>
        <v>2777.7777777777778</v>
      </c>
      <c r="L197" s="5">
        <f t="shared" si="32"/>
        <v>2353.5879629629749</v>
      </c>
      <c r="M197" s="5">
        <f>IF(E197&lt;=$B$3,$B$2-SUM($K$3:K197),0)</f>
        <v>458333.3333333357</v>
      </c>
      <c r="N197" s="2">
        <v>4.9000000000000004</v>
      </c>
      <c r="O197" s="1">
        <f t="shared" si="33"/>
        <v>6.125</v>
      </c>
      <c r="P197" s="1">
        <f t="shared" si="34"/>
        <v>5.1041666666666666E-3</v>
      </c>
      <c r="Q197" s="1">
        <f t="shared" si="35"/>
        <v>6.2515313091616163</v>
      </c>
    </row>
    <row r="198" spans="5:17" x14ac:dyDescent="0.2">
      <c r="E198" s="1">
        <v>196</v>
      </c>
      <c r="F198" s="4">
        <f t="shared" si="27"/>
        <v>6076.105395806896</v>
      </c>
      <c r="G198" s="4">
        <f t="shared" si="28"/>
        <v>2622.999414577233</v>
      </c>
      <c r="H198" s="4">
        <f t="shared" si="29"/>
        <v>3453.105981229663</v>
      </c>
      <c r="I198" s="4">
        <f>IF($B$2-SUM($G$3:G198)&lt; 0.001,0,$B$2-SUM($G$3:G198))</f>
        <v>673903.88670389075</v>
      </c>
      <c r="J198" s="5">
        <f t="shared" si="30"/>
        <v>5117.1875</v>
      </c>
      <c r="K198" s="5">
        <f t="shared" si="31"/>
        <v>2777.7777777777778</v>
      </c>
      <c r="L198" s="5">
        <f t="shared" si="32"/>
        <v>2339.4097222222344</v>
      </c>
      <c r="M198" s="5">
        <f>IF(E198&lt;=$B$3,$B$2-SUM($K$3:K198),0)</f>
        <v>455555.55555555795</v>
      </c>
      <c r="N198" s="2">
        <v>4.9000000000000004</v>
      </c>
      <c r="O198" s="1">
        <f t="shared" si="33"/>
        <v>6.125</v>
      </c>
      <c r="P198" s="1">
        <f t="shared" si="34"/>
        <v>5.1041666666666666E-3</v>
      </c>
      <c r="Q198" s="1">
        <f t="shared" si="35"/>
        <v>6.2515313091616163</v>
      </c>
    </row>
    <row r="199" spans="5:17" x14ac:dyDescent="0.2">
      <c r="E199" s="1">
        <v>197</v>
      </c>
      <c r="F199" s="4">
        <f t="shared" si="27"/>
        <v>6076.105395806896</v>
      </c>
      <c r="G199" s="4">
        <f t="shared" si="28"/>
        <v>2636.3876407558041</v>
      </c>
      <c r="H199" s="4">
        <f t="shared" si="29"/>
        <v>3439.7177550510924</v>
      </c>
      <c r="I199" s="4">
        <f>IF($B$2-SUM($G$3:G199)&lt; 0.001,0,$B$2-SUM($G$3:G199))</f>
        <v>671267.49906313501</v>
      </c>
      <c r="J199" s="5">
        <f t="shared" si="30"/>
        <v>5103.0092592592591</v>
      </c>
      <c r="K199" s="5">
        <f t="shared" si="31"/>
        <v>2777.7777777777778</v>
      </c>
      <c r="L199" s="5">
        <f t="shared" si="32"/>
        <v>2325.2314814814936</v>
      </c>
      <c r="M199" s="5">
        <f>IF(E199&lt;=$B$3,$B$2-SUM($K$3:K199),0)</f>
        <v>452777.7777777802</v>
      </c>
      <c r="N199" s="2">
        <v>4.9000000000000004</v>
      </c>
      <c r="O199" s="1">
        <f t="shared" si="33"/>
        <v>6.125</v>
      </c>
      <c r="P199" s="1">
        <f t="shared" si="34"/>
        <v>5.1041666666666666E-3</v>
      </c>
      <c r="Q199" s="1">
        <f t="shared" si="35"/>
        <v>6.2515313091616163</v>
      </c>
    </row>
    <row r="200" spans="5:17" x14ac:dyDescent="0.2">
      <c r="E200" s="1">
        <v>198</v>
      </c>
      <c r="F200" s="4">
        <f t="shared" si="27"/>
        <v>6076.105395806896</v>
      </c>
      <c r="G200" s="4">
        <f t="shared" si="28"/>
        <v>2649.8442026721627</v>
      </c>
      <c r="H200" s="4">
        <f t="shared" si="29"/>
        <v>3426.2611931347337</v>
      </c>
      <c r="I200" s="4">
        <f>IF($B$2-SUM($G$3:G200)&lt; 0.001,0,$B$2-SUM($G$3:G200))</f>
        <v>668617.65486046276</v>
      </c>
      <c r="J200" s="5">
        <f t="shared" si="30"/>
        <v>5088.8310185185182</v>
      </c>
      <c r="K200" s="5">
        <f t="shared" si="31"/>
        <v>2777.7777777777778</v>
      </c>
      <c r="L200" s="5">
        <f t="shared" si="32"/>
        <v>2311.0532407407532</v>
      </c>
      <c r="M200" s="5">
        <f>IF(E200&lt;=$B$3,$B$2-SUM($K$3:K200),0)</f>
        <v>450000.00000000244</v>
      </c>
      <c r="N200" s="2">
        <v>4.9000000000000004</v>
      </c>
      <c r="O200" s="1">
        <f t="shared" si="33"/>
        <v>6.125</v>
      </c>
      <c r="P200" s="1">
        <f t="shared" si="34"/>
        <v>5.1041666666666666E-3</v>
      </c>
      <c r="Q200" s="1">
        <f t="shared" si="35"/>
        <v>6.2515313091616163</v>
      </c>
    </row>
    <row r="201" spans="5:17" x14ac:dyDescent="0.2">
      <c r="E201" s="1">
        <v>199</v>
      </c>
      <c r="F201" s="4">
        <f t="shared" si="27"/>
        <v>6076.105395806896</v>
      </c>
      <c r="G201" s="4">
        <f t="shared" si="28"/>
        <v>2663.3694491233014</v>
      </c>
      <c r="H201" s="4">
        <f t="shared" si="29"/>
        <v>3412.7359466835956</v>
      </c>
      <c r="I201" s="4">
        <f>IF($B$2-SUM($G$3:G201)&lt; 0.001,0,$B$2-SUM($G$3:G201))</f>
        <v>665954.28541133949</v>
      </c>
      <c r="J201" s="5">
        <f t="shared" si="30"/>
        <v>5074.6527777777774</v>
      </c>
      <c r="K201" s="5">
        <f t="shared" si="31"/>
        <v>2777.7777777777778</v>
      </c>
      <c r="L201" s="5">
        <f t="shared" si="32"/>
        <v>2296.8750000000123</v>
      </c>
      <c r="M201" s="5">
        <f>IF(E201&lt;=$B$3,$B$2-SUM($K$3:K201),0)</f>
        <v>447222.22222222469</v>
      </c>
      <c r="N201" s="2">
        <v>4.9000000000000004</v>
      </c>
      <c r="O201" s="1">
        <f t="shared" si="33"/>
        <v>6.125</v>
      </c>
      <c r="P201" s="1">
        <f t="shared" si="34"/>
        <v>5.1041666666666666E-3</v>
      </c>
      <c r="Q201" s="1">
        <f t="shared" si="35"/>
        <v>6.2515313091616163</v>
      </c>
    </row>
    <row r="202" spans="5:17" x14ac:dyDescent="0.2">
      <c r="E202" s="1">
        <v>200</v>
      </c>
      <c r="F202" s="4">
        <f t="shared" si="27"/>
        <v>6076.105395806896</v>
      </c>
      <c r="G202" s="4">
        <f t="shared" si="28"/>
        <v>2676.9637306865357</v>
      </c>
      <c r="H202" s="4">
        <f t="shared" si="29"/>
        <v>3399.1416651203613</v>
      </c>
      <c r="I202" s="4">
        <f>IF($B$2-SUM($G$3:G202)&lt; 0.001,0,$B$2-SUM($G$3:G202))</f>
        <v>663277.32168065303</v>
      </c>
      <c r="J202" s="5">
        <f t="shared" si="30"/>
        <v>5060.4745370370365</v>
      </c>
      <c r="K202" s="5">
        <f t="shared" si="31"/>
        <v>2777.7777777777778</v>
      </c>
      <c r="L202" s="5">
        <f t="shared" si="32"/>
        <v>2282.6967592592719</v>
      </c>
      <c r="M202" s="5">
        <f>IF(E202&lt;=$B$3,$B$2-SUM($K$3:K202),0)</f>
        <v>444444.44444444694</v>
      </c>
      <c r="N202" s="2">
        <v>4.9000000000000004</v>
      </c>
      <c r="O202" s="1">
        <f t="shared" si="33"/>
        <v>6.125</v>
      </c>
      <c r="P202" s="1">
        <f t="shared" si="34"/>
        <v>5.1041666666666666E-3</v>
      </c>
      <c r="Q202" s="1">
        <f t="shared" si="35"/>
        <v>6.2515313091616163</v>
      </c>
    </row>
    <row r="203" spans="5:17" x14ac:dyDescent="0.2">
      <c r="E203" s="1">
        <v>201</v>
      </c>
      <c r="F203" s="4">
        <f t="shared" si="27"/>
        <v>6076.105395806896</v>
      </c>
      <c r="G203" s="4">
        <f t="shared" si="28"/>
        <v>2690.6273997285807</v>
      </c>
      <c r="H203" s="4">
        <f t="shared" si="29"/>
        <v>3385.4779960783158</v>
      </c>
      <c r="I203" s="4">
        <f>IF($B$2-SUM($G$3:G203)&lt; 0.001,0,$B$2-SUM($G$3:G203))</f>
        <v>660586.69428092451</v>
      </c>
      <c r="J203" s="5">
        <f t="shared" si="30"/>
        <v>5046.2962962962956</v>
      </c>
      <c r="K203" s="5">
        <f t="shared" si="31"/>
        <v>2777.7777777777778</v>
      </c>
      <c r="L203" s="5">
        <f t="shared" si="32"/>
        <v>2268.5185185185314</v>
      </c>
      <c r="M203" s="5">
        <f>IF(E203&lt;=$B$3,$B$2-SUM($K$3:K203),0)</f>
        <v>441666.66666666919</v>
      </c>
      <c r="N203" s="2">
        <v>4.9000000000000004</v>
      </c>
      <c r="O203" s="1">
        <f t="shared" si="33"/>
        <v>6.125</v>
      </c>
      <c r="P203" s="1">
        <f t="shared" si="34"/>
        <v>5.1041666666666666E-3</v>
      </c>
      <c r="Q203" s="1">
        <f t="shared" si="35"/>
        <v>6.2515313091616163</v>
      </c>
    </row>
    <row r="204" spans="5:17" x14ac:dyDescent="0.2">
      <c r="E204" s="1">
        <v>202</v>
      </c>
      <c r="F204" s="4">
        <f t="shared" si="27"/>
        <v>6076.105395806896</v>
      </c>
      <c r="G204" s="4">
        <f t="shared" si="28"/>
        <v>2704.3608104146961</v>
      </c>
      <c r="H204" s="4">
        <f t="shared" si="29"/>
        <v>3371.7445853922009</v>
      </c>
      <c r="I204" s="4">
        <f>IF($B$2-SUM($G$3:G204)&lt; 0.001,0,$B$2-SUM($G$3:G204))</f>
        <v>657882.33347050974</v>
      </c>
      <c r="J204" s="5">
        <f t="shared" si="30"/>
        <v>5032.1180555555547</v>
      </c>
      <c r="K204" s="5">
        <f t="shared" si="31"/>
        <v>2777.7777777777778</v>
      </c>
      <c r="L204" s="5">
        <f t="shared" si="32"/>
        <v>2254.3402777777906</v>
      </c>
      <c r="M204" s="5">
        <f>IF(E204&lt;=$B$3,$B$2-SUM($K$3:K204),0)</f>
        <v>438888.88888889144</v>
      </c>
      <c r="N204" s="2">
        <v>4.9000000000000004</v>
      </c>
      <c r="O204" s="1">
        <f t="shared" si="33"/>
        <v>6.125</v>
      </c>
      <c r="P204" s="1">
        <f t="shared" si="34"/>
        <v>5.1041666666666666E-3</v>
      </c>
      <c r="Q204" s="1">
        <f t="shared" si="35"/>
        <v>6.2515313091616163</v>
      </c>
    </row>
    <row r="205" spans="5:17" x14ac:dyDescent="0.2">
      <c r="E205" s="1">
        <v>203</v>
      </c>
      <c r="F205" s="4">
        <f t="shared" si="27"/>
        <v>6076.105395806896</v>
      </c>
      <c r="G205" s="4">
        <f t="shared" si="28"/>
        <v>2718.1643187178538</v>
      </c>
      <c r="H205" s="4">
        <f t="shared" si="29"/>
        <v>3357.9410770890427</v>
      </c>
      <c r="I205" s="4">
        <f>IF($B$2-SUM($G$3:G205)&lt; 0.001,0,$B$2-SUM($G$3:G205))</f>
        <v>655164.16915179184</v>
      </c>
      <c r="J205" s="5">
        <f t="shared" si="30"/>
        <v>5017.9398148148148</v>
      </c>
      <c r="K205" s="5">
        <f t="shared" si="31"/>
        <v>2777.7777777777778</v>
      </c>
      <c r="L205" s="5">
        <f t="shared" si="32"/>
        <v>2240.1620370370501</v>
      </c>
      <c r="M205" s="5">
        <f>IF(E205&lt;=$B$3,$B$2-SUM($K$3:K205),0)</f>
        <v>436111.11111111369</v>
      </c>
      <c r="N205" s="2">
        <v>4.9000000000000004</v>
      </c>
      <c r="O205" s="1">
        <f t="shared" si="33"/>
        <v>6.125</v>
      </c>
      <c r="P205" s="1">
        <f t="shared" si="34"/>
        <v>5.1041666666666666E-3</v>
      </c>
      <c r="Q205" s="1">
        <f t="shared" si="35"/>
        <v>6.2515313091616163</v>
      </c>
    </row>
    <row r="206" spans="5:17" x14ac:dyDescent="0.2">
      <c r="E206" s="1">
        <v>204</v>
      </c>
      <c r="F206" s="4">
        <f t="shared" si="27"/>
        <v>6076.105395806896</v>
      </c>
      <c r="G206" s="4">
        <f t="shared" si="28"/>
        <v>2732.0382824279773</v>
      </c>
      <c r="H206" s="4">
        <f t="shared" si="29"/>
        <v>3344.0671133789192</v>
      </c>
      <c r="I206" s="4">
        <f>IF($B$2-SUM($G$3:G206)&lt; 0.001,0,$B$2-SUM($G$3:G206))</f>
        <v>652432.1308693639</v>
      </c>
      <c r="J206" s="5">
        <f t="shared" si="30"/>
        <v>5003.7615740740748</v>
      </c>
      <c r="K206" s="5">
        <f t="shared" si="31"/>
        <v>2777.7777777777778</v>
      </c>
      <c r="L206" s="5">
        <f t="shared" si="32"/>
        <v>2225.9837962963093</v>
      </c>
      <c r="M206" s="5">
        <f>IF(E206&lt;=$B$3,$B$2-SUM($K$3:K206),0)</f>
        <v>433333.33333333593</v>
      </c>
      <c r="N206" s="2">
        <v>4.9000000000000004</v>
      </c>
      <c r="O206" s="1">
        <f t="shared" si="33"/>
        <v>6.125</v>
      </c>
      <c r="P206" s="1">
        <f t="shared" si="34"/>
        <v>5.1041666666666666E-3</v>
      </c>
      <c r="Q206" s="1">
        <f t="shared" si="35"/>
        <v>6.2515313091616163</v>
      </c>
    </row>
    <row r="207" spans="5:17" x14ac:dyDescent="0.2">
      <c r="E207" s="1">
        <v>205</v>
      </c>
      <c r="F207" s="4">
        <f t="shared" si="27"/>
        <v>6076.105395806896</v>
      </c>
      <c r="G207" s="4">
        <f t="shared" si="28"/>
        <v>2745.9830611612028</v>
      </c>
      <c r="H207" s="4">
        <f t="shared" si="29"/>
        <v>3330.1223346456936</v>
      </c>
      <c r="I207" s="4">
        <f>IF($B$2-SUM($G$3:G207)&lt; 0.001,0,$B$2-SUM($G$3:G207))</f>
        <v>649686.14780820278</v>
      </c>
      <c r="J207" s="5">
        <f t="shared" si="30"/>
        <v>4989.5833333333339</v>
      </c>
      <c r="K207" s="5">
        <f t="shared" si="31"/>
        <v>2777.7777777777778</v>
      </c>
      <c r="L207" s="5">
        <f t="shared" si="32"/>
        <v>2211.8055555555688</v>
      </c>
      <c r="M207" s="5">
        <f>IF(E207&lt;=$B$3,$B$2-SUM($K$3:K207),0)</f>
        <v>430555.55555555818</v>
      </c>
      <c r="N207" s="2">
        <v>4.9000000000000004</v>
      </c>
      <c r="O207" s="1">
        <f t="shared" si="33"/>
        <v>6.125</v>
      </c>
      <c r="P207" s="1">
        <f t="shared" si="34"/>
        <v>5.1041666666666666E-3</v>
      </c>
      <c r="Q207" s="1">
        <f t="shared" si="35"/>
        <v>6.2515313091616163</v>
      </c>
    </row>
    <row r="208" spans="5:17" x14ac:dyDescent="0.2">
      <c r="E208" s="1">
        <v>206</v>
      </c>
      <c r="F208" s="4">
        <f t="shared" si="27"/>
        <v>6076.105395806896</v>
      </c>
      <c r="G208" s="4">
        <f t="shared" si="28"/>
        <v>2759.9990163692137</v>
      </c>
      <c r="H208" s="4">
        <f t="shared" si="29"/>
        <v>3316.1063794376828</v>
      </c>
      <c r="I208" s="4">
        <f>IF($B$2-SUM($G$3:G208)&lt; 0.001,0,$B$2-SUM($G$3:G208))</f>
        <v>646926.14879183355</v>
      </c>
      <c r="J208" s="5">
        <f t="shared" si="30"/>
        <v>4975.4050925925922</v>
      </c>
      <c r="K208" s="5">
        <f t="shared" si="31"/>
        <v>2777.7777777777778</v>
      </c>
      <c r="L208" s="5">
        <f t="shared" si="32"/>
        <v>2197.627314814828</v>
      </c>
      <c r="M208" s="5">
        <f>IF(E208&lt;=$B$3,$B$2-SUM($K$3:K208),0)</f>
        <v>427777.77777778043</v>
      </c>
      <c r="N208" s="2">
        <v>4.9000000000000004</v>
      </c>
      <c r="O208" s="1">
        <f t="shared" si="33"/>
        <v>6.125</v>
      </c>
      <c r="P208" s="1">
        <f t="shared" si="34"/>
        <v>5.1041666666666666E-3</v>
      </c>
      <c r="Q208" s="1">
        <f t="shared" si="35"/>
        <v>6.2515313091616163</v>
      </c>
    </row>
    <row r="209" spans="5:17" x14ac:dyDescent="0.2">
      <c r="E209" s="1">
        <v>207</v>
      </c>
      <c r="F209" s="4">
        <f t="shared" si="27"/>
        <v>6076.105395806896</v>
      </c>
      <c r="G209" s="4">
        <f t="shared" si="28"/>
        <v>2774.0865113485984</v>
      </c>
      <c r="H209" s="4">
        <f t="shared" si="29"/>
        <v>3302.0188844582985</v>
      </c>
      <c r="I209" s="4">
        <f>IF($B$2-SUM($G$3:G209)&lt; 0.001,0,$B$2-SUM($G$3:G209))</f>
        <v>644152.06228048494</v>
      </c>
      <c r="J209" s="5">
        <f t="shared" si="30"/>
        <v>4961.2268518518522</v>
      </c>
      <c r="K209" s="5">
        <f t="shared" si="31"/>
        <v>2777.7777777777778</v>
      </c>
      <c r="L209" s="5">
        <f t="shared" si="32"/>
        <v>2183.4490740740875</v>
      </c>
      <c r="M209" s="5">
        <f>IF(E209&lt;=$B$3,$B$2-SUM($K$3:K209),0)</f>
        <v>425000.00000000268</v>
      </c>
      <c r="N209" s="2">
        <v>4.9000000000000004</v>
      </c>
      <c r="O209" s="1">
        <f t="shared" si="33"/>
        <v>6.125</v>
      </c>
      <c r="P209" s="1">
        <f t="shared" si="34"/>
        <v>5.1041666666666666E-3</v>
      </c>
      <c r="Q209" s="1">
        <f t="shared" si="35"/>
        <v>6.2515313091616163</v>
      </c>
    </row>
    <row r="210" spans="5:17" x14ac:dyDescent="0.2">
      <c r="E210" s="1">
        <v>208</v>
      </c>
      <c r="F210" s="4">
        <f t="shared" si="27"/>
        <v>6076.105395806896</v>
      </c>
      <c r="G210" s="4">
        <f t="shared" si="28"/>
        <v>2788.2459112502743</v>
      </c>
      <c r="H210" s="4">
        <f t="shared" si="29"/>
        <v>3287.8594845566226</v>
      </c>
      <c r="I210" s="4">
        <f>IF($B$2-SUM($G$3:G210)&lt; 0.001,0,$B$2-SUM($G$3:G210))</f>
        <v>641363.81636923458</v>
      </c>
      <c r="J210" s="5">
        <f t="shared" si="30"/>
        <v>4947.0486111111113</v>
      </c>
      <c r="K210" s="5">
        <f t="shared" si="31"/>
        <v>2777.7777777777778</v>
      </c>
      <c r="L210" s="5">
        <f t="shared" si="32"/>
        <v>2169.2708333333471</v>
      </c>
      <c r="M210" s="5">
        <f>IF(E210&lt;=$B$3,$B$2-SUM($K$3:K210),0)</f>
        <v>422222.22222222493</v>
      </c>
      <c r="N210" s="2">
        <v>4.9000000000000004</v>
      </c>
      <c r="O210" s="1">
        <f t="shared" si="33"/>
        <v>6.125</v>
      </c>
      <c r="P210" s="1">
        <f t="shared" si="34"/>
        <v>5.1041666666666666E-3</v>
      </c>
      <c r="Q210" s="1">
        <f t="shared" si="35"/>
        <v>6.2515313091616163</v>
      </c>
    </row>
    <row r="211" spans="5:17" x14ac:dyDescent="0.2">
      <c r="E211" s="1">
        <v>209</v>
      </c>
      <c r="F211" s="4">
        <f t="shared" si="27"/>
        <v>6076.105395806896</v>
      </c>
      <c r="G211" s="4">
        <f t="shared" si="28"/>
        <v>2802.4775830889466</v>
      </c>
      <c r="H211" s="4">
        <f t="shared" si="29"/>
        <v>3273.6278127179498</v>
      </c>
      <c r="I211" s="4">
        <f>IF($B$2-SUM($G$3:G211)&lt; 0.001,0,$B$2-SUM($G$3:G211))</f>
        <v>638561.33878614567</v>
      </c>
      <c r="J211" s="5">
        <f t="shared" si="30"/>
        <v>4932.8703703703704</v>
      </c>
      <c r="K211" s="5">
        <f t="shared" si="31"/>
        <v>2777.7777777777778</v>
      </c>
      <c r="L211" s="5">
        <f t="shared" si="32"/>
        <v>2155.0925925926063</v>
      </c>
      <c r="M211" s="5">
        <f>IF(E211&lt;=$B$3,$B$2-SUM($K$3:K211),0)</f>
        <v>419444.44444444717</v>
      </c>
      <c r="N211" s="2">
        <v>4.9000000000000004</v>
      </c>
      <c r="O211" s="1">
        <f t="shared" si="33"/>
        <v>6.125</v>
      </c>
      <c r="P211" s="1">
        <f t="shared" si="34"/>
        <v>5.1041666666666666E-3</v>
      </c>
      <c r="Q211" s="1">
        <f t="shared" si="35"/>
        <v>6.2515313091616163</v>
      </c>
    </row>
    <row r="212" spans="5:17" x14ac:dyDescent="0.2">
      <c r="E212" s="1">
        <v>210</v>
      </c>
      <c r="F212" s="4">
        <f t="shared" si="27"/>
        <v>6076.105395806896</v>
      </c>
      <c r="G212" s="4">
        <f t="shared" si="28"/>
        <v>2816.7818957526301</v>
      </c>
      <c r="H212" s="4">
        <f t="shared" si="29"/>
        <v>3259.3235000542663</v>
      </c>
      <c r="I212" s="4">
        <f>IF($B$2-SUM($G$3:G212)&lt; 0.001,0,$B$2-SUM($G$3:G212))</f>
        <v>635744.55689039291</v>
      </c>
      <c r="J212" s="5">
        <f t="shared" si="30"/>
        <v>4918.6921296296296</v>
      </c>
      <c r="K212" s="5">
        <f t="shared" si="31"/>
        <v>2777.7777777777778</v>
      </c>
      <c r="L212" s="5">
        <f t="shared" si="32"/>
        <v>2140.9143518518658</v>
      </c>
      <c r="M212" s="5">
        <f>IF(E212&lt;=$B$3,$B$2-SUM($K$3:K212),0)</f>
        <v>416666.66666666942</v>
      </c>
      <c r="N212" s="2">
        <v>4.9000000000000004</v>
      </c>
      <c r="O212" s="1">
        <f t="shared" si="33"/>
        <v>6.125</v>
      </c>
      <c r="P212" s="1">
        <f t="shared" si="34"/>
        <v>5.1041666666666666E-3</v>
      </c>
      <c r="Q212" s="1">
        <f t="shared" si="35"/>
        <v>6.2515313091616163</v>
      </c>
    </row>
    <row r="213" spans="5:17" x14ac:dyDescent="0.2">
      <c r="E213" s="1">
        <v>211</v>
      </c>
      <c r="F213" s="4">
        <f t="shared" si="27"/>
        <v>6076.105395806896</v>
      </c>
      <c r="G213" s="4">
        <f t="shared" si="28"/>
        <v>2831.1592200122013</v>
      </c>
      <c r="H213" s="4">
        <f t="shared" si="29"/>
        <v>3244.9461757946951</v>
      </c>
      <c r="I213" s="4">
        <f>IF($B$2-SUM($G$3:G213)&lt; 0.001,0,$B$2-SUM($G$3:G213))</f>
        <v>632913.39767038077</v>
      </c>
      <c r="J213" s="5">
        <f t="shared" si="30"/>
        <v>4904.5138888888887</v>
      </c>
      <c r="K213" s="5">
        <f t="shared" si="31"/>
        <v>2777.7777777777778</v>
      </c>
      <c r="L213" s="5">
        <f t="shared" si="32"/>
        <v>2126.736111111125</v>
      </c>
      <c r="M213" s="5">
        <f>IF(E213&lt;=$B$3,$B$2-SUM($K$3:K213),0)</f>
        <v>413888.88888889167</v>
      </c>
      <c r="N213" s="2">
        <v>4.9000000000000004</v>
      </c>
      <c r="O213" s="1">
        <f t="shared" si="33"/>
        <v>6.125</v>
      </c>
      <c r="P213" s="1">
        <f t="shared" si="34"/>
        <v>5.1041666666666666E-3</v>
      </c>
      <c r="Q213" s="1">
        <f t="shared" si="35"/>
        <v>6.2515313091616163</v>
      </c>
    </row>
    <row r="214" spans="5:17" x14ac:dyDescent="0.2">
      <c r="E214" s="1">
        <v>212</v>
      </c>
      <c r="F214" s="4">
        <f t="shared" si="27"/>
        <v>6076.105395806896</v>
      </c>
      <c r="G214" s="4">
        <f t="shared" si="28"/>
        <v>2845.6099285310138</v>
      </c>
      <c r="H214" s="4">
        <f t="shared" si="29"/>
        <v>3230.4954672758827</v>
      </c>
      <c r="I214" s="4">
        <f>IF($B$2-SUM($G$3:G214)&lt; 0.001,0,$B$2-SUM($G$3:G214))</f>
        <v>630067.78774184978</v>
      </c>
      <c r="J214" s="5">
        <f t="shared" si="30"/>
        <v>4890.3356481481478</v>
      </c>
      <c r="K214" s="5">
        <f t="shared" si="31"/>
        <v>2777.7777777777778</v>
      </c>
      <c r="L214" s="5">
        <f t="shared" si="32"/>
        <v>2112.5578703703845</v>
      </c>
      <c r="M214" s="5">
        <f>IF(E214&lt;=$B$3,$B$2-SUM($K$3:K214),0)</f>
        <v>411111.11111111392</v>
      </c>
      <c r="N214" s="2">
        <v>4.9000000000000004</v>
      </c>
      <c r="O214" s="1">
        <f t="shared" si="33"/>
        <v>6.125</v>
      </c>
      <c r="P214" s="1">
        <f t="shared" si="34"/>
        <v>5.1041666666666666E-3</v>
      </c>
      <c r="Q214" s="1">
        <f t="shared" si="35"/>
        <v>6.2515313091616163</v>
      </c>
    </row>
    <row r="215" spans="5:17" x14ac:dyDescent="0.2">
      <c r="E215" s="1">
        <v>213</v>
      </c>
      <c r="F215" s="4">
        <f t="shared" si="27"/>
        <v>6076.105395806896</v>
      </c>
      <c r="G215" s="4">
        <f t="shared" si="28"/>
        <v>2860.1343958745574</v>
      </c>
      <c r="H215" s="4">
        <f t="shared" si="29"/>
        <v>3215.9709999323386</v>
      </c>
      <c r="I215" s="4">
        <f>IF($B$2-SUM($G$3:G215)&lt; 0.001,0,$B$2-SUM($G$3:G215))</f>
        <v>627207.65334597521</v>
      </c>
      <c r="J215" s="5">
        <f t="shared" si="30"/>
        <v>4876.1574074074069</v>
      </c>
      <c r="K215" s="5">
        <f t="shared" si="31"/>
        <v>2777.7777777777778</v>
      </c>
      <c r="L215" s="5">
        <f t="shared" si="32"/>
        <v>2098.3796296296441</v>
      </c>
      <c r="M215" s="5">
        <f>IF(E215&lt;=$B$3,$B$2-SUM($K$3:K215),0)</f>
        <v>408333.33333333617</v>
      </c>
      <c r="N215" s="2">
        <v>4.9000000000000004</v>
      </c>
      <c r="O215" s="1">
        <f t="shared" si="33"/>
        <v>6.125</v>
      </c>
      <c r="P215" s="1">
        <f t="shared" si="34"/>
        <v>5.1041666666666666E-3</v>
      </c>
      <c r="Q215" s="1">
        <f t="shared" si="35"/>
        <v>6.2515313091616163</v>
      </c>
    </row>
    <row r="216" spans="5:17" x14ac:dyDescent="0.2">
      <c r="E216" s="1">
        <v>214</v>
      </c>
      <c r="F216" s="4">
        <f t="shared" si="27"/>
        <v>6076.105395806896</v>
      </c>
      <c r="G216" s="4">
        <f t="shared" si="28"/>
        <v>2874.7329985201677</v>
      </c>
      <c r="H216" s="4">
        <f t="shared" si="29"/>
        <v>3201.3723972867288</v>
      </c>
      <c r="I216" s="4">
        <f>IF($B$2-SUM($G$3:G216)&lt; 0.001,0,$B$2-SUM($G$3:G216))</f>
        <v>624332.92034745496</v>
      </c>
      <c r="J216" s="5">
        <f t="shared" si="30"/>
        <v>4861.979166666667</v>
      </c>
      <c r="K216" s="5">
        <f t="shared" si="31"/>
        <v>2777.7777777777778</v>
      </c>
      <c r="L216" s="5">
        <f t="shared" si="32"/>
        <v>2084.2013888889032</v>
      </c>
      <c r="M216" s="5">
        <f>IF(E216&lt;=$B$3,$B$2-SUM($K$3:K216),0)</f>
        <v>405555.55555555841</v>
      </c>
      <c r="N216" s="2">
        <v>4.9000000000000004</v>
      </c>
      <c r="O216" s="1">
        <f t="shared" si="33"/>
        <v>6.125</v>
      </c>
      <c r="P216" s="1">
        <f t="shared" si="34"/>
        <v>5.1041666666666666E-3</v>
      </c>
      <c r="Q216" s="1">
        <f t="shared" si="35"/>
        <v>6.2515313091616163</v>
      </c>
    </row>
    <row r="217" spans="5:17" x14ac:dyDescent="0.2">
      <c r="E217" s="1">
        <v>215</v>
      </c>
      <c r="F217" s="4">
        <f t="shared" si="27"/>
        <v>6076.105395806896</v>
      </c>
      <c r="G217" s="4">
        <f t="shared" si="28"/>
        <v>2889.4061148667815</v>
      </c>
      <c r="H217" s="4">
        <f t="shared" si="29"/>
        <v>3186.6992809401149</v>
      </c>
      <c r="I217" s="4">
        <f>IF($B$2-SUM($G$3:G217)&lt; 0.001,0,$B$2-SUM($G$3:G217))</f>
        <v>621443.51423258823</v>
      </c>
      <c r="J217" s="5">
        <f t="shared" si="30"/>
        <v>4847.8009259259252</v>
      </c>
      <c r="K217" s="5">
        <f t="shared" si="31"/>
        <v>2777.7777777777778</v>
      </c>
      <c r="L217" s="5">
        <f t="shared" si="32"/>
        <v>2070.0231481481628</v>
      </c>
      <c r="M217" s="5">
        <f>IF(E217&lt;=$B$3,$B$2-SUM($K$3:K217),0)</f>
        <v>402777.77777778066</v>
      </c>
      <c r="N217" s="2">
        <v>4.9000000000000004</v>
      </c>
      <c r="O217" s="1">
        <f t="shared" si="33"/>
        <v>6.125</v>
      </c>
      <c r="P217" s="1">
        <f t="shared" si="34"/>
        <v>5.1041666666666666E-3</v>
      </c>
      <c r="Q217" s="1">
        <f t="shared" si="35"/>
        <v>6.2515313091616163</v>
      </c>
    </row>
    <row r="218" spans="5:17" x14ac:dyDescent="0.2">
      <c r="E218" s="1">
        <v>216</v>
      </c>
      <c r="F218" s="4">
        <f t="shared" si="27"/>
        <v>6076.105395806896</v>
      </c>
      <c r="G218" s="4">
        <f t="shared" si="28"/>
        <v>2904.1541252447473</v>
      </c>
      <c r="H218" s="4">
        <f t="shared" si="29"/>
        <v>3171.9512705621496</v>
      </c>
      <c r="I218" s="4">
        <f>IF($B$2-SUM($G$3:G218)&lt; 0.001,0,$B$2-SUM($G$3:G218))</f>
        <v>618539.36010734341</v>
      </c>
      <c r="J218" s="5">
        <f t="shared" si="30"/>
        <v>4833.6226851851852</v>
      </c>
      <c r="K218" s="5">
        <f t="shared" si="31"/>
        <v>2777.7777777777778</v>
      </c>
      <c r="L218" s="5">
        <f t="shared" si="32"/>
        <v>2055.8449074074219</v>
      </c>
      <c r="M218" s="5">
        <f>IF(E218&lt;=$B$3,$B$2-SUM($K$3:K218),0)</f>
        <v>400000.00000000291</v>
      </c>
      <c r="N218" s="2">
        <v>4.9000000000000004</v>
      </c>
      <c r="O218" s="1">
        <f t="shared" si="33"/>
        <v>6.125</v>
      </c>
      <c r="P218" s="1">
        <f t="shared" si="34"/>
        <v>5.1041666666666666E-3</v>
      </c>
      <c r="Q218" s="1">
        <f t="shared" si="35"/>
        <v>6.2515313091616163</v>
      </c>
    </row>
    <row r="219" spans="5:17" x14ac:dyDescent="0.2">
      <c r="E219" s="1">
        <v>217</v>
      </c>
      <c r="F219" s="4">
        <f t="shared" si="27"/>
        <v>6076.105395806896</v>
      </c>
      <c r="G219" s="4">
        <f t="shared" si="28"/>
        <v>2918.9774119256836</v>
      </c>
      <c r="H219" s="4">
        <f t="shared" si="29"/>
        <v>3157.1279838812129</v>
      </c>
      <c r="I219" s="4">
        <f>IF($B$2-SUM($G$3:G219)&lt; 0.001,0,$B$2-SUM($G$3:G219))</f>
        <v>615620.38269541785</v>
      </c>
      <c r="J219" s="5">
        <f t="shared" si="30"/>
        <v>4819.4444444444443</v>
      </c>
      <c r="K219" s="5">
        <f t="shared" si="31"/>
        <v>2777.7777777777778</v>
      </c>
      <c r="L219" s="5">
        <f t="shared" si="32"/>
        <v>2041.6666666666815</v>
      </c>
      <c r="M219" s="5">
        <f>IF(E219&lt;=$B$3,$B$2-SUM($K$3:K219),0)</f>
        <v>397222.22222222516</v>
      </c>
      <c r="N219" s="2">
        <v>4.9000000000000004</v>
      </c>
      <c r="O219" s="1">
        <f t="shared" si="33"/>
        <v>6.125</v>
      </c>
      <c r="P219" s="1">
        <f t="shared" si="34"/>
        <v>5.1041666666666666E-3</v>
      </c>
      <c r="Q219" s="1">
        <f t="shared" si="35"/>
        <v>6.2515313091616163</v>
      </c>
    </row>
    <row r="220" spans="5:17" x14ac:dyDescent="0.2">
      <c r="E220" s="1">
        <v>218</v>
      </c>
      <c r="F220" s="4">
        <f t="shared" si="27"/>
        <v>6076.105395806896</v>
      </c>
      <c r="G220" s="4">
        <f t="shared" si="28"/>
        <v>2933.8763591323882</v>
      </c>
      <c r="H220" s="4">
        <f t="shared" si="29"/>
        <v>3142.2290366745078</v>
      </c>
      <c r="I220" s="4">
        <f>IF($B$2-SUM($G$3:G220)&lt; 0.001,0,$B$2-SUM($G$3:G220))</f>
        <v>612686.50633628538</v>
      </c>
      <c r="J220" s="5">
        <f t="shared" si="30"/>
        <v>4805.2662037037044</v>
      </c>
      <c r="K220" s="5">
        <f t="shared" si="31"/>
        <v>2777.7777777777778</v>
      </c>
      <c r="L220" s="5">
        <f t="shared" si="32"/>
        <v>2027.4884259259409</v>
      </c>
      <c r="M220" s="5">
        <f>IF(E220&lt;=$B$3,$B$2-SUM($K$3:K220),0)</f>
        <v>394444.44444444741</v>
      </c>
      <c r="N220" s="2">
        <v>4.9000000000000004</v>
      </c>
      <c r="O220" s="1">
        <f t="shared" si="33"/>
        <v>6.125</v>
      </c>
      <c r="P220" s="1">
        <f t="shared" si="34"/>
        <v>5.1041666666666666E-3</v>
      </c>
      <c r="Q220" s="1">
        <f t="shared" si="35"/>
        <v>6.2515313091616163</v>
      </c>
    </row>
    <row r="221" spans="5:17" x14ac:dyDescent="0.2">
      <c r="E221" s="1">
        <v>219</v>
      </c>
      <c r="F221" s="4">
        <f t="shared" si="27"/>
        <v>6076.105395806896</v>
      </c>
      <c r="G221" s="4">
        <f t="shared" si="28"/>
        <v>2948.8513530487926</v>
      </c>
      <c r="H221" s="4">
        <f t="shared" si="29"/>
        <v>3127.2540427581039</v>
      </c>
      <c r="I221" s="4">
        <f>IF($B$2-SUM($G$3:G221)&lt; 0.001,0,$B$2-SUM($G$3:G221))</f>
        <v>609737.65498323657</v>
      </c>
      <c r="J221" s="5">
        <f t="shared" si="30"/>
        <v>4791.0879629629626</v>
      </c>
      <c r="K221" s="5">
        <f t="shared" si="31"/>
        <v>2777.7777777777778</v>
      </c>
      <c r="L221" s="5">
        <f t="shared" si="32"/>
        <v>2013.3101851852002</v>
      </c>
      <c r="M221" s="5">
        <f>IF(E221&lt;=$B$3,$B$2-SUM($K$3:K221),0)</f>
        <v>391666.66666666965</v>
      </c>
      <c r="N221" s="2">
        <v>4.9000000000000004</v>
      </c>
      <c r="O221" s="1">
        <f t="shared" si="33"/>
        <v>6.125</v>
      </c>
      <c r="P221" s="1">
        <f t="shared" si="34"/>
        <v>5.1041666666666666E-3</v>
      </c>
      <c r="Q221" s="1">
        <f t="shared" si="35"/>
        <v>6.2515313091616163</v>
      </c>
    </row>
    <row r="222" spans="5:17" x14ac:dyDescent="0.2">
      <c r="E222" s="1">
        <v>220</v>
      </c>
      <c r="F222" s="4">
        <f t="shared" si="27"/>
        <v>6076.105395806896</v>
      </c>
      <c r="G222" s="4">
        <f t="shared" si="28"/>
        <v>2963.9027818299801</v>
      </c>
      <c r="H222" s="4">
        <f t="shared" si="29"/>
        <v>3112.2026139769164</v>
      </c>
      <c r="I222" s="4">
        <f>IF($B$2-SUM($G$3:G222)&lt; 0.001,0,$B$2-SUM($G$3:G222))</f>
        <v>606773.75220140652</v>
      </c>
      <c r="J222" s="5">
        <f t="shared" si="30"/>
        <v>4776.9097222222217</v>
      </c>
      <c r="K222" s="5">
        <f t="shared" si="31"/>
        <v>2777.7777777777778</v>
      </c>
      <c r="L222" s="5">
        <f t="shared" si="32"/>
        <v>1999.1319444444596</v>
      </c>
      <c r="M222" s="5">
        <f>IF(E222&lt;=$B$3,$B$2-SUM($K$3:K222),0)</f>
        <v>388888.8888888919</v>
      </c>
      <c r="N222" s="2">
        <v>4.9000000000000004</v>
      </c>
      <c r="O222" s="1">
        <f t="shared" si="33"/>
        <v>6.125</v>
      </c>
      <c r="P222" s="1">
        <f t="shared" si="34"/>
        <v>5.1041666666666666E-3</v>
      </c>
      <c r="Q222" s="1">
        <f t="shared" si="35"/>
        <v>6.2515313091616163</v>
      </c>
    </row>
    <row r="223" spans="5:17" x14ac:dyDescent="0.2">
      <c r="E223" s="1">
        <v>221</v>
      </c>
      <c r="F223" s="4">
        <f t="shared" si="27"/>
        <v>6076.105395806896</v>
      </c>
      <c r="G223" s="4">
        <f t="shared" si="28"/>
        <v>2979.0310356122368</v>
      </c>
      <c r="H223" s="4">
        <f t="shared" si="29"/>
        <v>3097.0743601946597</v>
      </c>
      <c r="I223" s="4">
        <f>IF($B$2-SUM($G$3:G223)&lt; 0.001,0,$B$2-SUM($G$3:G223))</f>
        <v>603794.72116579441</v>
      </c>
      <c r="J223" s="5">
        <f t="shared" si="30"/>
        <v>4762.7314814814818</v>
      </c>
      <c r="K223" s="5">
        <f t="shared" si="31"/>
        <v>2777.7777777777778</v>
      </c>
      <c r="L223" s="5">
        <f t="shared" si="32"/>
        <v>1984.9537037037192</v>
      </c>
      <c r="M223" s="5">
        <f>IF(E223&lt;=$B$3,$B$2-SUM($K$3:K223),0)</f>
        <v>386111.11111111415</v>
      </c>
      <c r="N223" s="2">
        <v>4.9000000000000004</v>
      </c>
      <c r="O223" s="1">
        <f t="shared" si="33"/>
        <v>6.125</v>
      </c>
      <c r="P223" s="1">
        <f t="shared" si="34"/>
        <v>5.1041666666666666E-3</v>
      </c>
      <c r="Q223" s="1">
        <f t="shared" si="35"/>
        <v>6.2515313091616163</v>
      </c>
    </row>
    <row r="224" spans="5:17" x14ac:dyDescent="0.2">
      <c r="E224" s="1">
        <v>222</v>
      </c>
      <c r="F224" s="4">
        <f t="shared" si="27"/>
        <v>6076.105395806896</v>
      </c>
      <c r="G224" s="4">
        <f t="shared" si="28"/>
        <v>2994.2365065231743</v>
      </c>
      <c r="H224" s="4">
        <f t="shared" si="29"/>
        <v>3081.8688892837222</v>
      </c>
      <c r="I224" s="4">
        <f>IF($B$2-SUM($G$3:G224)&lt; 0.001,0,$B$2-SUM($G$3:G224))</f>
        <v>600800.4846592712</v>
      </c>
      <c r="J224" s="5">
        <f t="shared" si="30"/>
        <v>4748.5532407407409</v>
      </c>
      <c r="K224" s="5">
        <f t="shared" si="31"/>
        <v>2777.7777777777778</v>
      </c>
      <c r="L224" s="5">
        <f t="shared" si="32"/>
        <v>1970.7754629629785</v>
      </c>
      <c r="M224" s="5">
        <f>IF(E224&lt;=$B$3,$B$2-SUM($K$3:K224),0)</f>
        <v>383333.3333333364</v>
      </c>
      <c r="N224" s="2">
        <v>4.9000000000000004</v>
      </c>
      <c r="O224" s="1">
        <f t="shared" si="33"/>
        <v>6.125</v>
      </c>
      <c r="P224" s="1">
        <f t="shared" si="34"/>
        <v>5.1041666666666666E-3</v>
      </c>
      <c r="Q224" s="1">
        <f t="shared" si="35"/>
        <v>6.2515313091616163</v>
      </c>
    </row>
    <row r="225" spans="5:17" x14ac:dyDescent="0.2">
      <c r="E225" s="1">
        <v>223</v>
      </c>
      <c r="F225" s="4">
        <f t="shared" si="27"/>
        <v>6076.105395806896</v>
      </c>
      <c r="G225" s="4">
        <f t="shared" si="28"/>
        <v>3009.5195886918873</v>
      </c>
      <c r="H225" s="4">
        <f t="shared" si="29"/>
        <v>3066.5858071150096</v>
      </c>
      <c r="I225" s="4">
        <f>IF($B$2-SUM($G$3:G225)&lt; 0.001,0,$B$2-SUM($G$3:G225))</f>
        <v>597790.96507057932</v>
      </c>
      <c r="J225" s="5">
        <f t="shared" si="30"/>
        <v>4734.375</v>
      </c>
      <c r="K225" s="5">
        <f t="shared" si="31"/>
        <v>2777.7777777777778</v>
      </c>
      <c r="L225" s="5">
        <f t="shared" si="32"/>
        <v>1956.5972222222379</v>
      </c>
      <c r="M225" s="5">
        <f>IF(E225&lt;=$B$3,$B$2-SUM($K$3:K225),0)</f>
        <v>380555.55555555865</v>
      </c>
      <c r="N225" s="2">
        <v>4.9000000000000004</v>
      </c>
      <c r="O225" s="1">
        <f t="shared" si="33"/>
        <v>6.125</v>
      </c>
      <c r="P225" s="1">
        <f t="shared" si="34"/>
        <v>5.1041666666666666E-3</v>
      </c>
      <c r="Q225" s="1">
        <f t="shared" si="35"/>
        <v>6.2515313091616163</v>
      </c>
    </row>
    <row r="226" spans="5:17" x14ac:dyDescent="0.2">
      <c r="E226" s="1">
        <v>224</v>
      </c>
      <c r="F226" s="4">
        <f t="shared" si="27"/>
        <v>6076.105395806896</v>
      </c>
      <c r="G226" s="4">
        <f t="shared" si="28"/>
        <v>3024.8806782591691</v>
      </c>
      <c r="H226" s="4">
        <f t="shared" si="29"/>
        <v>3051.2247175477273</v>
      </c>
      <c r="I226" s="4">
        <f>IF($B$2-SUM($G$3:G226)&lt; 0.001,0,$B$2-SUM($G$3:G226))</f>
        <v>594766.08439232013</v>
      </c>
      <c r="J226" s="5">
        <f t="shared" si="30"/>
        <v>4720.1967592592591</v>
      </c>
      <c r="K226" s="5">
        <f t="shared" si="31"/>
        <v>2777.7777777777778</v>
      </c>
      <c r="L226" s="5">
        <f t="shared" si="32"/>
        <v>1942.4189814814972</v>
      </c>
      <c r="M226" s="5">
        <f>IF(E226&lt;=$B$3,$B$2-SUM($K$3:K226),0)</f>
        <v>377777.7777777809</v>
      </c>
      <c r="N226" s="2">
        <v>4.9000000000000004</v>
      </c>
      <c r="O226" s="1">
        <f t="shared" si="33"/>
        <v>6.125</v>
      </c>
      <c r="P226" s="1">
        <f t="shared" si="34"/>
        <v>5.1041666666666666E-3</v>
      </c>
      <c r="Q226" s="1">
        <f t="shared" si="35"/>
        <v>6.2515313091616163</v>
      </c>
    </row>
    <row r="227" spans="5:17" x14ac:dyDescent="0.2">
      <c r="E227" s="1">
        <v>225</v>
      </c>
      <c r="F227" s="4">
        <f t="shared" si="27"/>
        <v>6076.105395806896</v>
      </c>
      <c r="G227" s="4">
        <f t="shared" si="28"/>
        <v>3040.3201733877831</v>
      </c>
      <c r="H227" s="4">
        <f t="shared" si="29"/>
        <v>3035.7852224191133</v>
      </c>
      <c r="I227" s="4">
        <f>IF($B$2-SUM($G$3:G227)&lt; 0.001,0,$B$2-SUM($G$3:G227))</f>
        <v>591725.76421893237</v>
      </c>
      <c r="J227" s="5">
        <f t="shared" si="30"/>
        <v>4706.0185185185182</v>
      </c>
      <c r="K227" s="5">
        <f t="shared" si="31"/>
        <v>2777.7777777777778</v>
      </c>
      <c r="L227" s="5">
        <f t="shared" si="32"/>
        <v>1928.2407407407566</v>
      </c>
      <c r="M227" s="5">
        <f>IF(E227&lt;=$B$3,$B$2-SUM($K$3:K227),0)</f>
        <v>375000.00000000314</v>
      </c>
      <c r="N227" s="2">
        <v>4.9000000000000004</v>
      </c>
      <c r="O227" s="1">
        <f t="shared" si="33"/>
        <v>6.125</v>
      </c>
      <c r="P227" s="1">
        <f t="shared" si="34"/>
        <v>5.1041666666666666E-3</v>
      </c>
      <c r="Q227" s="1">
        <f t="shared" si="35"/>
        <v>6.2515313091616163</v>
      </c>
    </row>
    <row r="228" spans="5:17" x14ac:dyDescent="0.2">
      <c r="E228" s="1">
        <v>226</v>
      </c>
      <c r="F228" s="4">
        <f t="shared" si="27"/>
        <v>6076.105395806896</v>
      </c>
      <c r="G228" s="4">
        <f t="shared" si="28"/>
        <v>3055.8384742727831</v>
      </c>
      <c r="H228" s="4">
        <f t="shared" si="29"/>
        <v>3020.2669215341134</v>
      </c>
      <c r="I228" s="4">
        <f>IF($B$2-SUM($G$3:G228)&lt; 0.001,0,$B$2-SUM($G$3:G228))</f>
        <v>588669.9257446595</v>
      </c>
      <c r="J228" s="5">
        <f t="shared" si="30"/>
        <v>4691.8402777777774</v>
      </c>
      <c r="K228" s="5">
        <f t="shared" si="31"/>
        <v>2777.7777777777778</v>
      </c>
      <c r="L228" s="5">
        <f t="shared" si="32"/>
        <v>1914.0625000000159</v>
      </c>
      <c r="M228" s="5">
        <f>IF(E228&lt;=$B$3,$B$2-SUM($K$3:K228),0)</f>
        <v>372222.22222222539</v>
      </c>
      <c r="N228" s="2">
        <v>4.9000000000000004</v>
      </c>
      <c r="O228" s="1">
        <f t="shared" si="33"/>
        <v>6.125</v>
      </c>
      <c r="P228" s="1">
        <f t="shared" si="34"/>
        <v>5.1041666666666666E-3</v>
      </c>
      <c r="Q228" s="1">
        <f t="shared" si="35"/>
        <v>6.2515313091616163</v>
      </c>
    </row>
    <row r="229" spans="5:17" x14ac:dyDescent="0.2">
      <c r="E229" s="1">
        <v>227</v>
      </c>
      <c r="F229" s="4">
        <f t="shared" si="27"/>
        <v>6076.105395806896</v>
      </c>
      <c r="G229" s="4">
        <f t="shared" si="28"/>
        <v>3071.4359831518836</v>
      </c>
      <c r="H229" s="4">
        <f t="shared" si="29"/>
        <v>3004.6694126550128</v>
      </c>
      <c r="I229" s="4">
        <f>IF($B$2-SUM($G$3:G229)&lt; 0.001,0,$B$2-SUM($G$3:G229))</f>
        <v>585598.4897615076</v>
      </c>
      <c r="J229" s="5">
        <f t="shared" si="30"/>
        <v>4677.6620370370374</v>
      </c>
      <c r="K229" s="5">
        <f t="shared" si="31"/>
        <v>2777.7777777777778</v>
      </c>
      <c r="L229" s="5">
        <f t="shared" si="32"/>
        <v>1899.8842592592755</v>
      </c>
      <c r="M229" s="5">
        <f>IF(E229&lt;=$B$3,$B$2-SUM($K$3:K229),0)</f>
        <v>369444.44444444764</v>
      </c>
      <c r="N229" s="2">
        <v>4.9000000000000004</v>
      </c>
      <c r="O229" s="1">
        <f t="shared" si="33"/>
        <v>6.125</v>
      </c>
      <c r="P229" s="1">
        <f t="shared" si="34"/>
        <v>5.1041666666666666E-3</v>
      </c>
      <c r="Q229" s="1">
        <f t="shared" si="35"/>
        <v>6.2515313091616163</v>
      </c>
    </row>
    <row r="230" spans="5:17" x14ac:dyDescent="0.2">
      <c r="E230" s="1">
        <v>228</v>
      </c>
      <c r="F230" s="4">
        <f t="shared" si="27"/>
        <v>6076.105395806896</v>
      </c>
      <c r="G230" s="4">
        <f t="shared" si="28"/>
        <v>3087.1131043158889</v>
      </c>
      <c r="H230" s="4">
        <f t="shared" si="29"/>
        <v>2988.9922914910076</v>
      </c>
      <c r="I230" s="4">
        <f>IF($B$2-SUM($G$3:G230)&lt; 0.001,0,$B$2-SUM($G$3:G230))</f>
        <v>582511.37665719178</v>
      </c>
      <c r="J230" s="5">
        <f t="shared" si="30"/>
        <v>4663.4837962962956</v>
      </c>
      <c r="K230" s="5">
        <f t="shared" si="31"/>
        <v>2777.7777777777778</v>
      </c>
      <c r="L230" s="5">
        <f t="shared" si="32"/>
        <v>1885.7060185185348</v>
      </c>
      <c r="M230" s="5">
        <f>IF(E230&lt;=$B$3,$B$2-SUM($K$3:K230),0)</f>
        <v>366666.66666666989</v>
      </c>
      <c r="N230" s="2">
        <v>4.9000000000000004</v>
      </c>
      <c r="O230" s="1">
        <f t="shared" si="33"/>
        <v>6.125</v>
      </c>
      <c r="P230" s="1">
        <f t="shared" si="34"/>
        <v>5.1041666666666666E-3</v>
      </c>
      <c r="Q230" s="1">
        <f t="shared" si="35"/>
        <v>6.2515313091616163</v>
      </c>
    </row>
    <row r="231" spans="5:17" x14ac:dyDescent="0.2">
      <c r="E231" s="1">
        <v>229</v>
      </c>
      <c r="F231" s="4">
        <f t="shared" si="27"/>
        <v>6076.105395806896</v>
      </c>
      <c r="G231" s="4">
        <f t="shared" si="28"/>
        <v>3102.8702441191676</v>
      </c>
      <c r="H231" s="4">
        <f t="shared" si="29"/>
        <v>2973.2351516877288</v>
      </c>
      <c r="I231" s="4">
        <f>IF($B$2-SUM($G$3:G231)&lt; 0.001,0,$B$2-SUM($G$3:G231))</f>
        <v>579408.50641307258</v>
      </c>
      <c r="J231" s="5">
        <f t="shared" si="30"/>
        <v>4649.3055555555557</v>
      </c>
      <c r="K231" s="5">
        <f t="shared" si="31"/>
        <v>2777.7777777777778</v>
      </c>
      <c r="L231" s="5">
        <f t="shared" si="32"/>
        <v>1871.5277777777942</v>
      </c>
      <c r="M231" s="5">
        <f>IF(E231&lt;=$B$3,$B$2-SUM($K$3:K231),0)</f>
        <v>363888.88888889214</v>
      </c>
      <c r="N231" s="2">
        <v>4.9000000000000004</v>
      </c>
      <c r="O231" s="1">
        <f t="shared" si="33"/>
        <v>6.125</v>
      </c>
      <c r="P231" s="1">
        <f t="shared" si="34"/>
        <v>5.1041666666666666E-3</v>
      </c>
      <c r="Q231" s="1">
        <f t="shared" si="35"/>
        <v>6.2515313091616163</v>
      </c>
    </row>
    <row r="232" spans="5:17" x14ac:dyDescent="0.2">
      <c r="E232" s="1">
        <v>230</v>
      </c>
      <c r="F232" s="4">
        <f t="shared" si="27"/>
        <v>6076.105395806896</v>
      </c>
      <c r="G232" s="4">
        <f t="shared" si="28"/>
        <v>3118.7078109901927</v>
      </c>
      <c r="H232" s="4">
        <f t="shared" si="29"/>
        <v>2957.3975848167038</v>
      </c>
      <c r="I232" s="4">
        <f>IF($B$2-SUM($G$3:G232)&lt; 0.001,0,$B$2-SUM($G$3:G232))</f>
        <v>576289.79860208242</v>
      </c>
      <c r="J232" s="5">
        <f t="shared" si="30"/>
        <v>4635.1273148148148</v>
      </c>
      <c r="K232" s="5">
        <f t="shared" si="31"/>
        <v>2777.7777777777778</v>
      </c>
      <c r="L232" s="5">
        <f t="shared" si="32"/>
        <v>1857.3495370370536</v>
      </c>
      <c r="M232" s="5">
        <f>IF(E232&lt;=$B$3,$B$2-SUM($K$3:K232),0)</f>
        <v>361111.11111111438</v>
      </c>
      <c r="N232" s="2">
        <v>4.9000000000000004</v>
      </c>
      <c r="O232" s="1">
        <f t="shared" si="33"/>
        <v>6.125</v>
      </c>
      <c r="P232" s="1">
        <f t="shared" si="34"/>
        <v>5.1041666666666666E-3</v>
      </c>
      <c r="Q232" s="1">
        <f t="shared" si="35"/>
        <v>6.2515313091616163</v>
      </c>
    </row>
    <row r="233" spans="5:17" x14ac:dyDescent="0.2">
      <c r="E233" s="1">
        <v>231</v>
      </c>
      <c r="F233" s="4">
        <f t="shared" si="27"/>
        <v>6076.105395806896</v>
      </c>
      <c r="G233" s="4">
        <f t="shared" si="28"/>
        <v>3134.6262154421229</v>
      </c>
      <c r="H233" s="4">
        <f t="shared" si="29"/>
        <v>2941.479180364774</v>
      </c>
      <c r="I233" s="4">
        <f>IF($B$2-SUM($G$3:G233)&lt; 0.001,0,$B$2-SUM($G$3:G233))</f>
        <v>573155.17238664022</v>
      </c>
      <c r="J233" s="5">
        <f t="shared" si="30"/>
        <v>4620.9490740740739</v>
      </c>
      <c r="K233" s="5">
        <f t="shared" si="31"/>
        <v>2777.7777777777778</v>
      </c>
      <c r="L233" s="5">
        <f t="shared" si="32"/>
        <v>1843.1712962963129</v>
      </c>
      <c r="M233" s="5">
        <f>IF(E233&lt;=$B$3,$B$2-SUM($K$3:K233),0)</f>
        <v>358333.33333333663</v>
      </c>
      <c r="N233" s="2">
        <v>4.9000000000000004</v>
      </c>
      <c r="O233" s="1">
        <f t="shared" si="33"/>
        <v>6.125</v>
      </c>
      <c r="P233" s="1">
        <f t="shared" si="34"/>
        <v>5.1041666666666666E-3</v>
      </c>
      <c r="Q233" s="1">
        <f t="shared" si="35"/>
        <v>6.2515313091616163</v>
      </c>
    </row>
    <row r="234" spans="5:17" x14ac:dyDescent="0.2">
      <c r="E234" s="1">
        <v>232</v>
      </c>
      <c r="F234" s="4">
        <f t="shared" si="27"/>
        <v>6076.105395806896</v>
      </c>
      <c r="G234" s="4">
        <f t="shared" si="28"/>
        <v>3150.6258700834419</v>
      </c>
      <c r="H234" s="4">
        <f t="shared" si="29"/>
        <v>2925.4795257234546</v>
      </c>
      <c r="I234" s="4">
        <f>IF($B$2-SUM($G$3:G234)&lt; 0.001,0,$B$2-SUM($G$3:G234))</f>
        <v>570004.54651655676</v>
      </c>
      <c r="J234" s="5">
        <f t="shared" si="30"/>
        <v>4606.7708333333339</v>
      </c>
      <c r="K234" s="5">
        <f t="shared" si="31"/>
        <v>2777.7777777777778</v>
      </c>
      <c r="L234" s="5">
        <f t="shared" si="32"/>
        <v>1828.9930555555723</v>
      </c>
      <c r="M234" s="5">
        <f>IF(E234&lt;=$B$3,$B$2-SUM($K$3:K234),0)</f>
        <v>355555.55555555888</v>
      </c>
      <c r="N234" s="2">
        <v>4.9000000000000004</v>
      </c>
      <c r="O234" s="1">
        <f t="shared" si="33"/>
        <v>6.125</v>
      </c>
      <c r="P234" s="1">
        <f t="shared" si="34"/>
        <v>5.1041666666666666E-3</v>
      </c>
      <c r="Q234" s="1">
        <f t="shared" si="35"/>
        <v>6.2515313091616163</v>
      </c>
    </row>
    <row r="235" spans="5:17" x14ac:dyDescent="0.2">
      <c r="E235" s="1">
        <v>233</v>
      </c>
      <c r="F235" s="4">
        <f t="shared" si="27"/>
        <v>6076.105395806896</v>
      </c>
      <c r="G235" s="4">
        <f t="shared" si="28"/>
        <v>3166.7071896286593</v>
      </c>
      <c r="H235" s="4">
        <f t="shared" si="29"/>
        <v>2909.3982061782367</v>
      </c>
      <c r="I235" s="4">
        <f>IF($B$2-SUM($G$3:G235)&lt; 0.001,0,$B$2-SUM($G$3:G235))</f>
        <v>566837.83932692814</v>
      </c>
      <c r="J235" s="5">
        <f t="shared" si="30"/>
        <v>4592.5925925925922</v>
      </c>
      <c r="K235" s="5">
        <f t="shared" si="31"/>
        <v>2777.7777777777778</v>
      </c>
      <c r="L235" s="5">
        <f t="shared" si="32"/>
        <v>1814.8148148148318</v>
      </c>
      <c r="M235" s="5">
        <f>IF(E235&lt;=$B$3,$B$2-SUM($K$3:K235),0)</f>
        <v>352777.77777778113</v>
      </c>
      <c r="N235" s="2">
        <v>4.9000000000000004</v>
      </c>
      <c r="O235" s="1">
        <f t="shared" si="33"/>
        <v>6.125</v>
      </c>
      <c r="P235" s="1">
        <f t="shared" si="34"/>
        <v>5.1041666666666666E-3</v>
      </c>
      <c r="Q235" s="1">
        <f t="shared" si="35"/>
        <v>6.2515313091616163</v>
      </c>
    </row>
    <row r="236" spans="5:17" x14ac:dyDescent="0.2">
      <c r="E236" s="1">
        <v>234</v>
      </c>
      <c r="F236" s="4">
        <f t="shared" si="27"/>
        <v>6076.105395806896</v>
      </c>
      <c r="G236" s="4">
        <f t="shared" si="28"/>
        <v>3182.8705909090559</v>
      </c>
      <c r="H236" s="4">
        <f t="shared" si="29"/>
        <v>2893.2348048978406</v>
      </c>
      <c r="I236" s="4">
        <f>IF($B$2-SUM($G$3:G236)&lt; 0.001,0,$B$2-SUM($G$3:G236))</f>
        <v>563654.9687360191</v>
      </c>
      <c r="J236" s="5">
        <f t="shared" si="30"/>
        <v>4578.4143518518522</v>
      </c>
      <c r="K236" s="5">
        <f t="shared" si="31"/>
        <v>2777.7777777777778</v>
      </c>
      <c r="L236" s="5">
        <f t="shared" si="32"/>
        <v>1800.6365740740912</v>
      </c>
      <c r="M236" s="5">
        <f>IF(E236&lt;=$B$3,$B$2-SUM($K$3:K236),0)</f>
        <v>350000.00000000338</v>
      </c>
      <c r="N236" s="2">
        <v>4.9000000000000004</v>
      </c>
      <c r="O236" s="1">
        <f t="shared" si="33"/>
        <v>6.125</v>
      </c>
      <c r="P236" s="1">
        <f t="shared" si="34"/>
        <v>5.1041666666666666E-3</v>
      </c>
      <c r="Q236" s="1">
        <f t="shared" si="35"/>
        <v>6.2515313091616163</v>
      </c>
    </row>
    <row r="237" spans="5:17" x14ac:dyDescent="0.2">
      <c r="E237" s="1">
        <v>235</v>
      </c>
      <c r="F237" s="4">
        <f t="shared" si="27"/>
        <v>6076.105395806896</v>
      </c>
      <c r="G237" s="4">
        <f t="shared" si="28"/>
        <v>3199.1164928834878</v>
      </c>
      <c r="H237" s="4">
        <f t="shared" si="29"/>
        <v>2876.9889029234087</v>
      </c>
      <c r="I237" s="4">
        <f>IF($B$2-SUM($G$3:G237)&lt; 0.001,0,$B$2-SUM($G$3:G237))</f>
        <v>560455.85224313568</v>
      </c>
      <c r="J237" s="5">
        <f t="shared" si="30"/>
        <v>4564.2361111111113</v>
      </c>
      <c r="K237" s="5">
        <f t="shared" si="31"/>
        <v>2777.7777777777778</v>
      </c>
      <c r="L237" s="5">
        <f t="shared" si="32"/>
        <v>1786.4583333333505</v>
      </c>
      <c r="M237" s="5">
        <f>IF(E237&lt;=$B$3,$B$2-SUM($K$3:K237),0)</f>
        <v>347222.22222222562</v>
      </c>
      <c r="N237" s="2">
        <v>4.9000000000000004</v>
      </c>
      <c r="O237" s="1">
        <f t="shared" si="33"/>
        <v>6.125</v>
      </c>
      <c r="P237" s="1">
        <f t="shared" si="34"/>
        <v>5.1041666666666666E-3</v>
      </c>
      <c r="Q237" s="1">
        <f t="shared" si="35"/>
        <v>6.2515313091616163</v>
      </c>
    </row>
    <row r="238" spans="5:17" x14ac:dyDescent="0.2">
      <c r="E238" s="1">
        <v>236</v>
      </c>
      <c r="F238" s="4">
        <f t="shared" si="27"/>
        <v>6076.105395806896</v>
      </c>
      <c r="G238" s="4">
        <f t="shared" si="28"/>
        <v>3215.4453166492476</v>
      </c>
      <c r="H238" s="4">
        <f t="shared" si="29"/>
        <v>2860.6600791576489</v>
      </c>
      <c r="I238" s="4">
        <f>IF($B$2-SUM($G$3:G238)&lt; 0.001,0,$B$2-SUM($G$3:G238))</f>
        <v>557240.40692648641</v>
      </c>
      <c r="J238" s="5">
        <f t="shared" si="30"/>
        <v>4550.0578703703704</v>
      </c>
      <c r="K238" s="5">
        <f t="shared" si="31"/>
        <v>2777.7777777777778</v>
      </c>
      <c r="L238" s="5">
        <f t="shared" si="32"/>
        <v>1772.2800925926099</v>
      </c>
      <c r="M238" s="5">
        <f>IF(E238&lt;=$B$3,$B$2-SUM($K$3:K238),0)</f>
        <v>344444.44444444787</v>
      </c>
      <c r="N238" s="2">
        <v>4.9000000000000004</v>
      </c>
      <c r="O238" s="1">
        <f t="shared" si="33"/>
        <v>6.125</v>
      </c>
      <c r="P238" s="1">
        <f t="shared" si="34"/>
        <v>5.1041666666666666E-3</v>
      </c>
      <c r="Q238" s="1">
        <f t="shared" si="35"/>
        <v>6.2515313091616163</v>
      </c>
    </row>
    <row r="239" spans="5:17" x14ac:dyDescent="0.2">
      <c r="E239" s="1">
        <v>237</v>
      </c>
      <c r="F239" s="4">
        <f t="shared" si="27"/>
        <v>6076.105395806896</v>
      </c>
      <c r="G239" s="4">
        <f t="shared" si="28"/>
        <v>3231.8574854529775</v>
      </c>
      <c r="H239" s="4">
        <f t="shared" si="29"/>
        <v>2844.247910353919</v>
      </c>
      <c r="I239" s="4">
        <f>IF($B$2-SUM($G$3:G239)&lt; 0.001,0,$B$2-SUM($G$3:G239))</f>
        <v>554008.54944103339</v>
      </c>
      <c r="J239" s="5">
        <f t="shared" si="30"/>
        <v>4535.8796296296296</v>
      </c>
      <c r="K239" s="5">
        <f t="shared" si="31"/>
        <v>2777.7777777777778</v>
      </c>
      <c r="L239" s="5">
        <f t="shared" si="32"/>
        <v>1758.1018518518692</v>
      </c>
      <c r="M239" s="5">
        <f>IF(E239&lt;=$B$3,$B$2-SUM($K$3:K239),0)</f>
        <v>341666.66666667012</v>
      </c>
      <c r="N239" s="2">
        <v>4.9000000000000004</v>
      </c>
      <c r="O239" s="1">
        <f t="shared" si="33"/>
        <v>6.125</v>
      </c>
      <c r="P239" s="1">
        <f t="shared" si="34"/>
        <v>5.1041666666666666E-3</v>
      </c>
      <c r="Q239" s="1">
        <f t="shared" si="35"/>
        <v>6.2515313091616163</v>
      </c>
    </row>
    <row r="240" spans="5:17" x14ac:dyDescent="0.2">
      <c r="E240" s="1">
        <v>238</v>
      </c>
      <c r="F240" s="4">
        <f t="shared" si="27"/>
        <v>6076.105395806896</v>
      </c>
      <c r="G240" s="4">
        <f t="shared" si="28"/>
        <v>3248.3534247016441</v>
      </c>
      <c r="H240" s="4">
        <f t="shared" si="29"/>
        <v>2827.7519711052523</v>
      </c>
      <c r="I240" s="4">
        <f>IF($B$2-SUM($G$3:G240)&lt; 0.001,0,$B$2-SUM($G$3:G240))</f>
        <v>550760.19601633167</v>
      </c>
      <c r="J240" s="5">
        <f t="shared" si="30"/>
        <v>4521.7013888888887</v>
      </c>
      <c r="K240" s="5">
        <f t="shared" si="31"/>
        <v>2777.7777777777778</v>
      </c>
      <c r="L240" s="5">
        <f t="shared" si="32"/>
        <v>1743.9236111111288</v>
      </c>
      <c r="M240" s="5">
        <f>IF(E240&lt;=$B$3,$B$2-SUM($K$3:K240),0)</f>
        <v>338888.88888889237</v>
      </c>
      <c r="N240" s="2">
        <v>4.9000000000000004</v>
      </c>
      <c r="O240" s="1">
        <f t="shared" si="33"/>
        <v>6.125</v>
      </c>
      <c r="P240" s="1">
        <f t="shared" si="34"/>
        <v>5.1041666666666666E-3</v>
      </c>
      <c r="Q240" s="1">
        <f t="shared" si="35"/>
        <v>6.2515313091616163</v>
      </c>
    </row>
    <row r="241" spans="5:17" x14ac:dyDescent="0.2">
      <c r="E241" s="1">
        <v>239</v>
      </c>
      <c r="F241" s="4">
        <f t="shared" si="27"/>
        <v>6076.105395806896</v>
      </c>
      <c r="G241" s="4">
        <f t="shared" si="28"/>
        <v>3264.9335619735598</v>
      </c>
      <c r="H241" s="4">
        <f t="shared" si="29"/>
        <v>2811.1718338333371</v>
      </c>
      <c r="I241" s="4">
        <f>IF($B$2-SUM($G$3:G241)&lt; 0.001,0,$B$2-SUM($G$3:G241))</f>
        <v>547495.26245435816</v>
      </c>
      <c r="J241" s="5">
        <f t="shared" si="30"/>
        <v>4507.5231481481478</v>
      </c>
      <c r="K241" s="5">
        <f t="shared" si="31"/>
        <v>2777.7777777777778</v>
      </c>
      <c r="L241" s="5">
        <f t="shared" si="32"/>
        <v>1729.7453703703882</v>
      </c>
      <c r="M241" s="5">
        <f>IF(E241&lt;=$B$3,$B$2-SUM($K$3:K241),0)</f>
        <v>336111.11111111462</v>
      </c>
      <c r="N241" s="2">
        <v>4.9000000000000004</v>
      </c>
      <c r="O241" s="1">
        <f t="shared" si="33"/>
        <v>6.125</v>
      </c>
      <c r="P241" s="1">
        <f t="shared" si="34"/>
        <v>5.1041666666666666E-3</v>
      </c>
      <c r="Q241" s="1">
        <f t="shared" si="35"/>
        <v>6.2515313091616163</v>
      </c>
    </row>
    <row r="242" spans="5:17" x14ac:dyDescent="0.2">
      <c r="E242" s="1">
        <v>240</v>
      </c>
      <c r="F242" s="4">
        <f t="shared" si="27"/>
        <v>6076.105395806896</v>
      </c>
      <c r="G242" s="4">
        <f t="shared" si="28"/>
        <v>3281.5983270294664</v>
      </c>
      <c r="H242" s="4">
        <f t="shared" si="29"/>
        <v>2794.50706877743</v>
      </c>
      <c r="I242" s="4">
        <f>IF($B$2-SUM($G$3:G242)&lt; 0.001,0,$B$2-SUM($G$3:G242))</f>
        <v>544213.66412732867</v>
      </c>
      <c r="J242" s="5">
        <f t="shared" si="30"/>
        <v>4493.3449074074069</v>
      </c>
      <c r="K242" s="5">
        <f t="shared" si="31"/>
        <v>2777.7777777777778</v>
      </c>
      <c r="L242" s="5">
        <f t="shared" si="32"/>
        <v>1715.5671296296475</v>
      </c>
      <c r="M242" s="5">
        <f>IF(E242&lt;=$B$3,$B$2-SUM($K$3:K242),0)</f>
        <v>333333.33333333686</v>
      </c>
      <c r="N242" s="2">
        <v>4.9000000000000004</v>
      </c>
      <c r="O242" s="1">
        <f t="shared" si="33"/>
        <v>6.125</v>
      </c>
      <c r="P242" s="1">
        <f t="shared" si="34"/>
        <v>5.1041666666666666E-3</v>
      </c>
      <c r="Q242" s="1">
        <f t="shared" si="35"/>
        <v>6.2515313091616163</v>
      </c>
    </row>
    <row r="243" spans="5:17" x14ac:dyDescent="0.2">
      <c r="E243" s="1">
        <v>241</v>
      </c>
      <c r="F243" s="4">
        <f t="shared" si="27"/>
        <v>6076.105395806896</v>
      </c>
      <c r="G243" s="4">
        <f t="shared" si="28"/>
        <v>3298.348151823679</v>
      </c>
      <c r="H243" s="4">
        <f t="shared" si="29"/>
        <v>2777.757243983217</v>
      </c>
      <c r="I243" s="4">
        <f>IF($B$2-SUM($G$3:G243)&lt; 0.001,0,$B$2-SUM($G$3:G243))</f>
        <v>540915.31597550504</v>
      </c>
      <c r="J243" s="5">
        <f t="shared" si="30"/>
        <v>4479.166666666667</v>
      </c>
      <c r="K243" s="5">
        <f t="shared" si="31"/>
        <v>2777.7777777777778</v>
      </c>
      <c r="L243" s="5">
        <f t="shared" si="32"/>
        <v>1701.3888888889069</v>
      </c>
      <c r="M243" s="5">
        <f>IF(E243&lt;=$B$3,$B$2-SUM($K$3:K243),0)</f>
        <v>330555.55555555911</v>
      </c>
      <c r="N243" s="2">
        <v>4.9000000000000004</v>
      </c>
      <c r="O243" s="1">
        <f t="shared" si="33"/>
        <v>6.125</v>
      </c>
      <c r="P243" s="1">
        <f t="shared" si="34"/>
        <v>5.1041666666666666E-3</v>
      </c>
      <c r="Q243" s="1">
        <f t="shared" si="35"/>
        <v>6.2515313091616163</v>
      </c>
    </row>
    <row r="244" spans="5:17" x14ac:dyDescent="0.2">
      <c r="E244" s="1">
        <v>242</v>
      </c>
      <c r="F244" s="4">
        <f t="shared" si="27"/>
        <v>6076.105395806896</v>
      </c>
      <c r="G244" s="4">
        <f t="shared" si="28"/>
        <v>3315.1834705152792</v>
      </c>
      <c r="H244" s="4">
        <f t="shared" si="29"/>
        <v>2760.9219252916178</v>
      </c>
      <c r="I244" s="4">
        <f>IF($B$2-SUM($G$3:G244)&lt; 0.001,0,$B$2-SUM($G$3:G244))</f>
        <v>537600.13250498974</v>
      </c>
      <c r="J244" s="5">
        <f t="shared" si="30"/>
        <v>4464.9884259259252</v>
      </c>
      <c r="K244" s="5">
        <f t="shared" si="31"/>
        <v>2777.7777777777778</v>
      </c>
      <c r="L244" s="5">
        <f t="shared" si="32"/>
        <v>1687.2106481481662</v>
      </c>
      <c r="M244" s="5">
        <f>IF(E244&lt;=$B$3,$B$2-SUM($K$3:K244),0)</f>
        <v>327777.77777778136</v>
      </c>
      <c r="N244" s="2">
        <v>4.9000000000000004</v>
      </c>
      <c r="O244" s="1">
        <f t="shared" si="33"/>
        <v>6.125</v>
      </c>
      <c r="P244" s="1">
        <f t="shared" si="34"/>
        <v>5.1041666666666666E-3</v>
      </c>
      <c r="Q244" s="1">
        <f t="shared" si="35"/>
        <v>6.2515313091616163</v>
      </c>
    </row>
    <row r="245" spans="5:17" x14ac:dyDescent="0.2">
      <c r="E245" s="1">
        <v>243</v>
      </c>
      <c r="F245" s="4">
        <f t="shared" si="27"/>
        <v>6076.105395806896</v>
      </c>
      <c r="G245" s="4">
        <f t="shared" si="28"/>
        <v>3332.1047194793678</v>
      </c>
      <c r="H245" s="4">
        <f t="shared" si="29"/>
        <v>2744.0006763275287</v>
      </c>
      <c r="I245" s="4">
        <f>IF($B$2-SUM($G$3:G245)&lt; 0.001,0,$B$2-SUM($G$3:G245))</f>
        <v>534268.02778551029</v>
      </c>
      <c r="J245" s="5">
        <f t="shared" si="30"/>
        <v>4450.8101851851852</v>
      </c>
      <c r="K245" s="5">
        <f t="shared" si="31"/>
        <v>2777.7777777777778</v>
      </c>
      <c r="L245" s="5">
        <f t="shared" si="32"/>
        <v>1673.0324074074256</v>
      </c>
      <c r="M245" s="5">
        <f>IF(E245&lt;=$B$3,$B$2-SUM($K$3:K245),0)</f>
        <v>325000.00000000361</v>
      </c>
      <c r="N245" s="2">
        <v>4.9000000000000004</v>
      </c>
      <c r="O245" s="1">
        <f t="shared" si="33"/>
        <v>6.125</v>
      </c>
      <c r="P245" s="1">
        <f t="shared" si="34"/>
        <v>5.1041666666666666E-3</v>
      </c>
      <c r="Q245" s="1">
        <f t="shared" si="35"/>
        <v>6.2515313091616163</v>
      </c>
    </row>
    <row r="246" spans="5:17" x14ac:dyDescent="0.2">
      <c r="E246" s="1">
        <v>244</v>
      </c>
      <c r="F246" s="4">
        <f t="shared" si="27"/>
        <v>6076.105395806896</v>
      </c>
      <c r="G246" s="4">
        <f t="shared" si="28"/>
        <v>3349.1123373183773</v>
      </c>
      <c r="H246" s="4">
        <f t="shared" si="29"/>
        <v>2726.9930584885187</v>
      </c>
      <c r="I246" s="4">
        <f>IF($B$2-SUM($G$3:G246)&lt; 0.001,0,$B$2-SUM($G$3:G246))</f>
        <v>530918.91544819204</v>
      </c>
      <c r="J246" s="5">
        <f t="shared" si="30"/>
        <v>4436.6319444444443</v>
      </c>
      <c r="K246" s="5">
        <f t="shared" si="31"/>
        <v>2777.7777777777778</v>
      </c>
      <c r="L246" s="5">
        <f t="shared" si="32"/>
        <v>1658.8541666666852</v>
      </c>
      <c r="M246" s="5">
        <f>IF(E246&lt;=$B$3,$B$2-SUM($K$3:K246),0)</f>
        <v>322222.22222222586</v>
      </c>
      <c r="N246" s="2">
        <v>4.9000000000000004</v>
      </c>
      <c r="O246" s="1">
        <f t="shared" si="33"/>
        <v>6.125</v>
      </c>
      <c r="P246" s="1">
        <f t="shared" si="34"/>
        <v>5.1041666666666666E-3</v>
      </c>
      <c r="Q246" s="1">
        <f t="shared" si="35"/>
        <v>6.2515313091616163</v>
      </c>
    </row>
    <row r="247" spans="5:17" x14ac:dyDescent="0.2">
      <c r="E247" s="1">
        <v>245</v>
      </c>
      <c r="F247" s="4">
        <f t="shared" si="27"/>
        <v>6076.105395806896</v>
      </c>
      <c r="G247" s="4">
        <f t="shared" si="28"/>
        <v>3366.2067648734401</v>
      </c>
      <c r="H247" s="4">
        <f t="shared" si="29"/>
        <v>2709.8986309334564</v>
      </c>
      <c r="I247" s="4">
        <f>IF($B$2-SUM($G$3:G247)&lt; 0.001,0,$B$2-SUM($G$3:G247))</f>
        <v>527552.70868331846</v>
      </c>
      <c r="J247" s="5">
        <f t="shared" si="30"/>
        <v>4422.4537037037044</v>
      </c>
      <c r="K247" s="5">
        <f t="shared" si="31"/>
        <v>2777.7777777777778</v>
      </c>
      <c r="L247" s="5">
        <f t="shared" si="32"/>
        <v>1644.6759259259445</v>
      </c>
      <c r="M247" s="5">
        <f>IF(E247&lt;=$B$3,$B$2-SUM($K$3:K247),0)</f>
        <v>319444.44444444811</v>
      </c>
      <c r="N247" s="2">
        <v>4.9000000000000004</v>
      </c>
      <c r="O247" s="1">
        <f t="shared" si="33"/>
        <v>6.125</v>
      </c>
      <c r="P247" s="1">
        <f t="shared" si="34"/>
        <v>5.1041666666666666E-3</v>
      </c>
      <c r="Q247" s="1">
        <f t="shared" si="35"/>
        <v>6.2515313091616163</v>
      </c>
    </row>
    <row r="248" spans="5:17" x14ac:dyDescent="0.2">
      <c r="E248" s="1">
        <v>246</v>
      </c>
      <c r="F248" s="4">
        <f t="shared" si="27"/>
        <v>6076.105395806896</v>
      </c>
      <c r="G248" s="4">
        <f t="shared" si="28"/>
        <v>3383.3884452358152</v>
      </c>
      <c r="H248" s="4">
        <f t="shared" si="29"/>
        <v>2692.7169505710813</v>
      </c>
      <c r="I248" s="4">
        <f>IF($B$2-SUM($G$3:G248)&lt; 0.001,0,$B$2-SUM($G$3:G248))</f>
        <v>524169.32023808273</v>
      </c>
      <c r="J248" s="5">
        <f t="shared" si="30"/>
        <v>4408.2754629629626</v>
      </c>
      <c r="K248" s="5">
        <f t="shared" si="31"/>
        <v>2777.7777777777778</v>
      </c>
      <c r="L248" s="5">
        <f t="shared" si="32"/>
        <v>1630.4976851852039</v>
      </c>
      <c r="M248" s="5">
        <f>IF(E248&lt;=$B$3,$B$2-SUM($K$3:K248),0)</f>
        <v>316666.66666667035</v>
      </c>
      <c r="N248" s="2">
        <v>4.9000000000000004</v>
      </c>
      <c r="O248" s="1">
        <f t="shared" si="33"/>
        <v>6.125</v>
      </c>
      <c r="P248" s="1">
        <f t="shared" si="34"/>
        <v>5.1041666666666666E-3</v>
      </c>
      <c r="Q248" s="1">
        <f t="shared" si="35"/>
        <v>6.2515313091616163</v>
      </c>
    </row>
    <row r="249" spans="5:17" x14ac:dyDescent="0.2">
      <c r="E249" s="1">
        <v>247</v>
      </c>
      <c r="F249" s="4">
        <f t="shared" si="27"/>
        <v>6076.105395806896</v>
      </c>
      <c r="G249" s="4">
        <f t="shared" si="28"/>
        <v>3400.6578237583731</v>
      </c>
      <c r="H249" s="4">
        <f t="shared" si="29"/>
        <v>2675.4475720485234</v>
      </c>
      <c r="I249" s="4">
        <f>IF($B$2-SUM($G$3:G249)&lt; 0.001,0,$B$2-SUM($G$3:G249))</f>
        <v>520768.66241432435</v>
      </c>
      <c r="J249" s="5">
        <f t="shared" si="30"/>
        <v>4394.0972222222217</v>
      </c>
      <c r="K249" s="5">
        <f t="shared" si="31"/>
        <v>2777.7777777777778</v>
      </c>
      <c r="L249" s="5">
        <f t="shared" si="32"/>
        <v>1616.3194444444632</v>
      </c>
      <c r="M249" s="5">
        <f>IF(E249&lt;=$B$3,$B$2-SUM($K$3:K249),0)</f>
        <v>313888.8888888926</v>
      </c>
      <c r="N249" s="2">
        <v>4.9000000000000004</v>
      </c>
      <c r="O249" s="1">
        <f t="shared" si="33"/>
        <v>6.125</v>
      </c>
      <c r="P249" s="1">
        <f t="shared" si="34"/>
        <v>5.1041666666666666E-3</v>
      </c>
      <c r="Q249" s="1">
        <f t="shared" si="35"/>
        <v>6.2515313091616163</v>
      </c>
    </row>
    <row r="250" spans="5:17" x14ac:dyDescent="0.2">
      <c r="E250" s="1">
        <v>248</v>
      </c>
      <c r="F250" s="4">
        <f t="shared" si="27"/>
        <v>6076.105395806896</v>
      </c>
      <c r="G250" s="4">
        <f t="shared" si="28"/>
        <v>3418.0153480671402</v>
      </c>
      <c r="H250" s="4">
        <f t="shared" si="29"/>
        <v>2658.0900477397563</v>
      </c>
      <c r="I250" s="4">
        <f>IF($B$2-SUM($G$3:G250)&lt; 0.001,0,$B$2-SUM($G$3:G250))</f>
        <v>517350.6470662572</v>
      </c>
      <c r="J250" s="5">
        <f t="shared" si="30"/>
        <v>4379.9189814814818</v>
      </c>
      <c r="K250" s="5">
        <f t="shared" si="31"/>
        <v>2777.7777777777778</v>
      </c>
      <c r="L250" s="5">
        <f t="shared" si="32"/>
        <v>1602.1412037037226</v>
      </c>
      <c r="M250" s="5">
        <f>IF(E250&lt;=$B$3,$B$2-SUM($K$3:K250),0)</f>
        <v>311111.11111111485</v>
      </c>
      <c r="N250" s="2">
        <v>4.9000000000000004</v>
      </c>
      <c r="O250" s="1">
        <f t="shared" si="33"/>
        <v>6.125</v>
      </c>
      <c r="P250" s="1">
        <f t="shared" si="34"/>
        <v>5.1041666666666666E-3</v>
      </c>
      <c r="Q250" s="1">
        <f t="shared" si="35"/>
        <v>6.2515313091616163</v>
      </c>
    </row>
    <row r="251" spans="5:17" x14ac:dyDescent="0.2">
      <c r="E251" s="1">
        <v>249</v>
      </c>
      <c r="F251" s="4">
        <f t="shared" si="27"/>
        <v>6076.105395806896</v>
      </c>
      <c r="G251" s="4">
        <f t="shared" si="28"/>
        <v>3435.4614680728996</v>
      </c>
      <c r="H251" s="4">
        <f t="shared" si="29"/>
        <v>2640.6439277339973</v>
      </c>
      <c r="I251" s="4">
        <f>IF($B$2-SUM($G$3:G251)&lt; 0.001,0,$B$2-SUM($G$3:G251))</f>
        <v>513915.1855981843</v>
      </c>
      <c r="J251" s="5">
        <f t="shared" si="30"/>
        <v>4365.7407407407409</v>
      </c>
      <c r="K251" s="5">
        <f t="shared" si="31"/>
        <v>2777.7777777777778</v>
      </c>
      <c r="L251" s="5">
        <f t="shared" si="32"/>
        <v>1587.9629629629819</v>
      </c>
      <c r="M251" s="5">
        <f>IF(E251&lt;=$B$3,$B$2-SUM($K$3:K251),0)</f>
        <v>308333.3333333371</v>
      </c>
      <c r="N251" s="2">
        <v>4.9000000000000004</v>
      </c>
      <c r="O251" s="1">
        <f t="shared" si="33"/>
        <v>6.125</v>
      </c>
      <c r="P251" s="1">
        <f t="shared" si="34"/>
        <v>5.1041666666666666E-3</v>
      </c>
      <c r="Q251" s="1">
        <f t="shared" si="35"/>
        <v>6.2515313091616163</v>
      </c>
    </row>
    <row r="252" spans="5:17" x14ac:dyDescent="0.2">
      <c r="E252" s="1">
        <v>250</v>
      </c>
      <c r="F252" s="4">
        <f t="shared" si="27"/>
        <v>6076.105395806896</v>
      </c>
      <c r="G252" s="4">
        <f t="shared" si="28"/>
        <v>3452.9966359828554</v>
      </c>
      <c r="H252" s="4">
        <f t="shared" si="29"/>
        <v>2623.108759824041</v>
      </c>
      <c r="I252" s="4">
        <f>IF($B$2-SUM($G$3:G252)&lt; 0.001,0,$B$2-SUM($G$3:G252))</f>
        <v>510462.18896220141</v>
      </c>
      <c r="J252" s="5">
        <f t="shared" si="30"/>
        <v>4351.5625</v>
      </c>
      <c r="K252" s="5">
        <f t="shared" si="31"/>
        <v>2777.7777777777778</v>
      </c>
      <c r="L252" s="5">
        <f t="shared" si="32"/>
        <v>1573.7847222222415</v>
      </c>
      <c r="M252" s="5">
        <f>IF(E252&lt;=$B$3,$B$2-SUM($K$3:K252),0)</f>
        <v>305555.55555555935</v>
      </c>
      <c r="N252" s="2">
        <v>4.9000000000000004</v>
      </c>
      <c r="O252" s="1">
        <f t="shared" si="33"/>
        <v>6.125</v>
      </c>
      <c r="P252" s="1">
        <f t="shared" si="34"/>
        <v>5.1041666666666666E-3</v>
      </c>
      <c r="Q252" s="1">
        <f t="shared" si="35"/>
        <v>6.2515313091616163</v>
      </c>
    </row>
    <row r="253" spans="5:17" x14ac:dyDescent="0.2">
      <c r="E253" s="1">
        <v>251</v>
      </c>
      <c r="F253" s="4">
        <f t="shared" si="27"/>
        <v>6076.105395806896</v>
      </c>
      <c r="G253" s="4">
        <f t="shared" si="28"/>
        <v>3470.621306312351</v>
      </c>
      <c r="H253" s="4">
        <f t="shared" si="29"/>
        <v>2605.4840894945455</v>
      </c>
      <c r="I253" s="4">
        <f>IF($B$2-SUM($G$3:G253)&lt; 0.001,0,$B$2-SUM($G$3:G253))</f>
        <v>506991.56765588908</v>
      </c>
      <c r="J253" s="5">
        <f t="shared" si="30"/>
        <v>4337.3842592592591</v>
      </c>
      <c r="K253" s="5">
        <f t="shared" si="31"/>
        <v>2777.7777777777778</v>
      </c>
      <c r="L253" s="5">
        <f t="shared" si="32"/>
        <v>1559.6064814815009</v>
      </c>
      <c r="M253" s="5">
        <f>IF(E253&lt;=$B$3,$B$2-SUM($K$3:K253),0)</f>
        <v>302777.77777778159</v>
      </c>
      <c r="N253" s="2">
        <v>4.9000000000000004</v>
      </c>
      <c r="O253" s="1">
        <f t="shared" si="33"/>
        <v>6.125</v>
      </c>
      <c r="P253" s="1">
        <f t="shared" si="34"/>
        <v>5.1041666666666666E-3</v>
      </c>
      <c r="Q253" s="1">
        <f t="shared" si="35"/>
        <v>6.2515313091616163</v>
      </c>
    </row>
    <row r="254" spans="5:17" x14ac:dyDescent="0.2">
      <c r="E254" s="1">
        <v>252</v>
      </c>
      <c r="F254" s="4">
        <f t="shared" si="27"/>
        <v>6076.105395806896</v>
      </c>
      <c r="G254" s="4">
        <f t="shared" si="28"/>
        <v>3488.3359358966545</v>
      </c>
      <c r="H254" s="4">
        <f t="shared" si="29"/>
        <v>2587.7694599102419</v>
      </c>
      <c r="I254" s="4">
        <f>IF($B$2-SUM($G$3:G254)&lt; 0.001,0,$B$2-SUM($G$3:G254))</f>
        <v>503503.23171999241</v>
      </c>
      <c r="J254" s="5">
        <f t="shared" si="30"/>
        <v>4323.2060185185182</v>
      </c>
      <c r="K254" s="5">
        <f t="shared" si="31"/>
        <v>2777.7777777777778</v>
      </c>
      <c r="L254" s="5">
        <f t="shared" si="32"/>
        <v>1545.4282407407602</v>
      </c>
      <c r="M254" s="5">
        <f>IF(E254&lt;=$B$3,$B$2-SUM($K$3:K254),0)</f>
        <v>300000.00000000384</v>
      </c>
      <c r="N254" s="2">
        <v>4.9000000000000004</v>
      </c>
      <c r="O254" s="1">
        <f t="shared" si="33"/>
        <v>6.125</v>
      </c>
      <c r="P254" s="1">
        <f t="shared" si="34"/>
        <v>5.1041666666666666E-3</v>
      </c>
      <c r="Q254" s="1">
        <f t="shared" si="35"/>
        <v>6.2515313091616163</v>
      </c>
    </row>
    <row r="255" spans="5:17" x14ac:dyDescent="0.2">
      <c r="E255" s="1">
        <v>253</v>
      </c>
      <c r="F255" s="4">
        <f t="shared" si="27"/>
        <v>6076.105395806896</v>
      </c>
      <c r="G255" s="4">
        <f t="shared" si="28"/>
        <v>3506.1409839027929</v>
      </c>
      <c r="H255" s="4">
        <f t="shared" si="29"/>
        <v>2569.9644119041036</v>
      </c>
      <c r="I255" s="4">
        <f>IF($B$2-SUM($G$3:G255)&lt; 0.001,0,$B$2-SUM($G$3:G255))</f>
        <v>499997.09073608962</v>
      </c>
      <c r="J255" s="5">
        <f t="shared" si="30"/>
        <v>4309.0277777777774</v>
      </c>
      <c r="K255" s="5">
        <f t="shared" si="31"/>
        <v>2777.7777777777778</v>
      </c>
      <c r="L255" s="5">
        <f t="shared" si="32"/>
        <v>1531.2500000000196</v>
      </c>
      <c r="M255" s="5">
        <f>IF(E255&lt;=$B$3,$B$2-SUM($K$3:K255),0)</f>
        <v>297222.22222222609</v>
      </c>
      <c r="N255" s="2">
        <v>4.9000000000000004</v>
      </c>
      <c r="O255" s="1">
        <f t="shared" si="33"/>
        <v>6.125</v>
      </c>
      <c r="P255" s="1">
        <f t="shared" si="34"/>
        <v>5.1041666666666666E-3</v>
      </c>
      <c r="Q255" s="1">
        <f t="shared" si="35"/>
        <v>6.2515313091616163</v>
      </c>
    </row>
    <row r="256" spans="5:17" x14ac:dyDescent="0.2">
      <c r="E256" s="1">
        <v>254</v>
      </c>
      <c r="F256" s="4">
        <f t="shared" si="27"/>
        <v>6076.105395806896</v>
      </c>
      <c r="G256" s="4">
        <f t="shared" si="28"/>
        <v>3524.0369118414637</v>
      </c>
      <c r="H256" s="4">
        <f t="shared" si="29"/>
        <v>2552.0684839654327</v>
      </c>
      <c r="I256" s="4">
        <f>IF($B$2-SUM($G$3:G256)&lt; 0.001,0,$B$2-SUM($G$3:G256))</f>
        <v>496473.05382424814</v>
      </c>
      <c r="J256" s="5">
        <f t="shared" si="30"/>
        <v>4294.8495370370374</v>
      </c>
      <c r="K256" s="5">
        <f t="shared" si="31"/>
        <v>2777.7777777777778</v>
      </c>
      <c r="L256" s="5">
        <f t="shared" si="32"/>
        <v>1517.0717592592789</v>
      </c>
      <c r="M256" s="5">
        <f>IF(E256&lt;=$B$3,$B$2-SUM($K$3:K256),0)</f>
        <v>294444.44444444834</v>
      </c>
      <c r="N256" s="2">
        <v>4.9000000000000004</v>
      </c>
      <c r="O256" s="1">
        <f t="shared" si="33"/>
        <v>6.125</v>
      </c>
      <c r="P256" s="1">
        <f t="shared" si="34"/>
        <v>5.1041666666666666E-3</v>
      </c>
      <c r="Q256" s="1">
        <f t="shared" si="35"/>
        <v>6.2515313091616163</v>
      </c>
    </row>
    <row r="257" spans="5:17" x14ac:dyDescent="0.2">
      <c r="E257" s="1">
        <v>255</v>
      </c>
      <c r="F257" s="4">
        <f t="shared" si="27"/>
        <v>6076.105395806896</v>
      </c>
      <c r="G257" s="4">
        <f t="shared" si="28"/>
        <v>3542.0241835789889</v>
      </c>
      <c r="H257" s="4">
        <f t="shared" si="29"/>
        <v>2534.0812122279081</v>
      </c>
      <c r="I257" s="4">
        <f>IF($B$2-SUM($G$3:G257)&lt; 0.001,0,$B$2-SUM($G$3:G257))</f>
        <v>492931.02964066918</v>
      </c>
      <c r="J257" s="5">
        <f t="shared" si="30"/>
        <v>4280.6712962962956</v>
      </c>
      <c r="K257" s="5">
        <f t="shared" si="31"/>
        <v>2777.7777777777778</v>
      </c>
      <c r="L257" s="5">
        <f t="shared" si="32"/>
        <v>1502.8935185185383</v>
      </c>
      <c r="M257" s="5">
        <f>IF(E257&lt;=$B$3,$B$2-SUM($K$3:K257),0)</f>
        <v>291666.66666667059</v>
      </c>
      <c r="N257" s="2">
        <v>4.9000000000000004</v>
      </c>
      <c r="O257" s="1">
        <f t="shared" si="33"/>
        <v>6.125</v>
      </c>
      <c r="P257" s="1">
        <f t="shared" si="34"/>
        <v>5.1041666666666666E-3</v>
      </c>
      <c r="Q257" s="1">
        <f t="shared" si="35"/>
        <v>6.2515313091616163</v>
      </c>
    </row>
    <row r="258" spans="5:17" x14ac:dyDescent="0.2">
      <c r="E258" s="1">
        <v>256</v>
      </c>
      <c r="F258" s="4">
        <f t="shared" si="27"/>
        <v>6076.105395806896</v>
      </c>
      <c r="G258" s="4">
        <f t="shared" si="28"/>
        <v>3560.1032653493398</v>
      </c>
      <c r="H258" s="4">
        <f t="shared" si="29"/>
        <v>2516.0021304575566</v>
      </c>
      <c r="I258" s="4">
        <f>IF($B$2-SUM($G$3:G258)&lt; 0.001,0,$B$2-SUM($G$3:G258))</f>
        <v>489370.92637531983</v>
      </c>
      <c r="J258" s="5">
        <f t="shared" si="30"/>
        <v>4266.4930555555557</v>
      </c>
      <c r="K258" s="5">
        <f t="shared" si="31"/>
        <v>2777.7777777777778</v>
      </c>
      <c r="L258" s="5">
        <f t="shared" si="32"/>
        <v>1488.7152777777978</v>
      </c>
      <c r="M258" s="5">
        <f>IF(E258&lt;=$B$3,$B$2-SUM($K$3:K258),0)</f>
        <v>288888.88888889283</v>
      </c>
      <c r="N258" s="2">
        <v>4.9000000000000004</v>
      </c>
      <c r="O258" s="1">
        <f t="shared" si="33"/>
        <v>6.125</v>
      </c>
      <c r="P258" s="1">
        <f t="shared" si="34"/>
        <v>5.1041666666666666E-3</v>
      </c>
      <c r="Q258" s="1">
        <f t="shared" si="35"/>
        <v>6.2515313091616163</v>
      </c>
    </row>
    <row r="259" spans="5:17" x14ac:dyDescent="0.2">
      <c r="E259" s="1">
        <v>257</v>
      </c>
      <c r="F259" s="4">
        <f t="shared" ref="F259:F322" si="36">IF(E259&lt;=$B$3, $B$2*P259*Q259/(Q259-1), 0)</f>
        <v>6076.105395806896</v>
      </c>
      <c r="G259" s="4">
        <f t="shared" ref="G259:G322" si="37">IF(E259&lt;=$B$3,$B$2*P259*POWER((1+P259),(E259-1))/(Q259-1),0)</f>
        <v>3578.2746257662266</v>
      </c>
      <c r="H259" s="4">
        <f t="shared" ref="H259:H322" si="38">IF(E259&lt;=$B$3,$B$2*P259*(Q259-POWER((1+P259),(E259-1)))/(Q259-1),0)</f>
        <v>2497.8307700406699</v>
      </c>
      <c r="I259" s="4">
        <f>IF($B$2-SUM($G$3:G259)&lt; 0.001,0,$B$2-SUM($G$3:G259))</f>
        <v>485792.65174955362</v>
      </c>
      <c r="J259" s="5">
        <f t="shared" ref="J259:J322" si="39">IF(E259&lt;=$B$3, ($B$2/$B$3)+($B$2 - ($B$2/$B$3) * (E259-1))*P259,0)</f>
        <v>4252.3148148148148</v>
      </c>
      <c r="K259" s="5">
        <f t="shared" ref="K259:K322" si="40">IF(E259&lt;=$B$3,$B$2/$B$3,0)</f>
        <v>2777.7777777777778</v>
      </c>
      <c r="L259" s="5">
        <f t="shared" si="32"/>
        <v>1474.5370370370572</v>
      </c>
      <c r="M259" s="5">
        <f>IF(E259&lt;=$B$3,$B$2-SUM($K$3:K259),0)</f>
        <v>286111.11111111508</v>
      </c>
      <c r="N259" s="2">
        <v>4.9000000000000004</v>
      </c>
      <c r="O259" s="1">
        <f t="shared" si="33"/>
        <v>6.125</v>
      </c>
      <c r="P259" s="1">
        <f t="shared" si="34"/>
        <v>5.1041666666666666E-3</v>
      </c>
      <c r="Q259" s="1">
        <f t="shared" si="35"/>
        <v>6.2515313091616163</v>
      </c>
    </row>
    <row r="260" spans="5:17" x14ac:dyDescent="0.2">
      <c r="E260" s="1">
        <v>258</v>
      </c>
      <c r="F260" s="4">
        <f t="shared" si="36"/>
        <v>6076.105395806896</v>
      </c>
      <c r="G260" s="4">
        <f t="shared" si="37"/>
        <v>3596.5387358352418</v>
      </c>
      <c r="H260" s="4">
        <f t="shared" si="38"/>
        <v>2479.5666599716546</v>
      </c>
      <c r="I260" s="4">
        <f>IF($B$2-SUM($G$3:G260)&lt; 0.001,0,$B$2-SUM($G$3:G260))</f>
        <v>482196.11301371839</v>
      </c>
      <c r="J260" s="5">
        <f t="shared" si="39"/>
        <v>4238.1365740740739</v>
      </c>
      <c r="K260" s="5">
        <f t="shared" si="40"/>
        <v>2777.7777777777778</v>
      </c>
      <c r="L260" s="5">
        <f t="shared" ref="L260:L323" si="41">(K260+M260)*P260</f>
        <v>1460.3587962963165</v>
      </c>
      <c r="M260" s="5">
        <f>IF(E260&lt;=$B$3,$B$2-SUM($K$3:K260),0)</f>
        <v>283333.33333333733</v>
      </c>
      <c r="N260" s="2">
        <v>4.9000000000000004</v>
      </c>
      <c r="O260" s="1">
        <f t="shared" ref="O260:O323" si="42">N260*$B$4/100</f>
        <v>6.125</v>
      </c>
      <c r="P260" s="1">
        <f t="shared" ref="P260:P323" si="43">O260/1200</f>
        <v>5.1041666666666666E-3</v>
      </c>
      <c r="Q260" s="1">
        <f t="shared" ref="Q260:Q323" si="44">POWER((1+P260),$B$3)</f>
        <v>6.2515313091616163</v>
      </c>
    </row>
    <row r="261" spans="5:17" x14ac:dyDescent="0.2">
      <c r="E261" s="1">
        <v>259</v>
      </c>
      <c r="F261" s="4">
        <f t="shared" si="36"/>
        <v>6076.105395806896</v>
      </c>
      <c r="G261" s="4">
        <f t="shared" si="37"/>
        <v>3614.896068966068</v>
      </c>
      <c r="H261" s="4">
        <f t="shared" si="38"/>
        <v>2461.2093268408285</v>
      </c>
      <c r="I261" s="4">
        <f>IF($B$2-SUM($G$3:G261)&lt; 0.001,0,$B$2-SUM($G$3:G261))</f>
        <v>478581.21694475232</v>
      </c>
      <c r="J261" s="5">
        <f t="shared" si="39"/>
        <v>4223.9583333333339</v>
      </c>
      <c r="K261" s="5">
        <f t="shared" si="40"/>
        <v>2777.7777777777778</v>
      </c>
      <c r="L261" s="5">
        <f t="shared" si="41"/>
        <v>1446.1805555555759</v>
      </c>
      <c r="M261" s="5">
        <f>IF(E261&lt;=$B$3,$B$2-SUM($K$3:K261),0)</f>
        <v>280555.55555555958</v>
      </c>
      <c r="N261" s="2">
        <v>4.9000000000000004</v>
      </c>
      <c r="O261" s="1">
        <f t="shared" si="42"/>
        <v>6.125</v>
      </c>
      <c r="P261" s="1">
        <f t="shared" si="43"/>
        <v>5.1041666666666666E-3</v>
      </c>
      <c r="Q261" s="1">
        <f t="shared" si="44"/>
        <v>6.2515313091616163</v>
      </c>
    </row>
    <row r="262" spans="5:17" x14ac:dyDescent="0.2">
      <c r="E262" s="1">
        <v>260</v>
      </c>
      <c r="F262" s="4">
        <f t="shared" si="36"/>
        <v>6076.105395806896</v>
      </c>
      <c r="G262" s="4">
        <f t="shared" si="37"/>
        <v>3633.347100984749</v>
      </c>
      <c r="H262" s="4">
        <f t="shared" si="38"/>
        <v>2442.758294822147</v>
      </c>
      <c r="I262" s="4">
        <f>IF($B$2-SUM($G$3:G262)&lt; 0.001,0,$B$2-SUM($G$3:G262))</f>
        <v>474947.86984376761</v>
      </c>
      <c r="J262" s="5">
        <f t="shared" si="39"/>
        <v>4209.7800925925922</v>
      </c>
      <c r="K262" s="5">
        <f t="shared" si="40"/>
        <v>2777.7777777777778</v>
      </c>
      <c r="L262" s="5">
        <f t="shared" si="41"/>
        <v>1432.0023148148352</v>
      </c>
      <c r="M262" s="5">
        <f>IF(E262&lt;=$B$3,$B$2-SUM($K$3:K262),0)</f>
        <v>277777.77777778183</v>
      </c>
      <c r="N262" s="2">
        <v>4.9000000000000004</v>
      </c>
      <c r="O262" s="1">
        <f t="shared" si="42"/>
        <v>6.125</v>
      </c>
      <c r="P262" s="1">
        <f t="shared" si="43"/>
        <v>5.1041666666666666E-3</v>
      </c>
      <c r="Q262" s="1">
        <f t="shared" si="44"/>
        <v>6.2515313091616163</v>
      </c>
    </row>
    <row r="263" spans="5:17" x14ac:dyDescent="0.2">
      <c r="E263" s="1">
        <v>261</v>
      </c>
      <c r="F263" s="4">
        <f t="shared" si="36"/>
        <v>6076.105395806896</v>
      </c>
      <c r="G263" s="4">
        <f t="shared" si="37"/>
        <v>3651.8923101460259</v>
      </c>
      <c r="H263" s="4">
        <f t="shared" si="38"/>
        <v>2424.2130856608705</v>
      </c>
      <c r="I263" s="4">
        <f>IF($B$2-SUM($G$3:G263)&lt; 0.001,0,$B$2-SUM($G$3:G263))</f>
        <v>471295.9775336216</v>
      </c>
      <c r="J263" s="5">
        <f t="shared" si="39"/>
        <v>4195.6018518518522</v>
      </c>
      <c r="K263" s="5">
        <f t="shared" si="40"/>
        <v>2777.7777777777778</v>
      </c>
      <c r="L263" s="5">
        <f t="shared" si="41"/>
        <v>1417.8240740740948</v>
      </c>
      <c r="M263" s="5">
        <f>IF(E263&lt;=$B$3,$B$2-SUM($K$3:K263),0)</f>
        <v>275000.00000000407</v>
      </c>
      <c r="N263" s="2">
        <v>4.9000000000000004</v>
      </c>
      <c r="O263" s="1">
        <f t="shared" si="42"/>
        <v>6.125</v>
      </c>
      <c r="P263" s="1">
        <f t="shared" si="43"/>
        <v>5.1041666666666666E-3</v>
      </c>
      <c r="Q263" s="1">
        <f t="shared" si="44"/>
        <v>6.2515313091616163</v>
      </c>
    </row>
    <row r="264" spans="5:17" x14ac:dyDescent="0.2">
      <c r="E264" s="1">
        <v>262</v>
      </c>
      <c r="F264" s="4">
        <f t="shared" si="36"/>
        <v>6076.105395806896</v>
      </c>
      <c r="G264" s="4">
        <f t="shared" si="37"/>
        <v>3670.5321771457297</v>
      </c>
      <c r="H264" s="4">
        <f t="shared" si="38"/>
        <v>2405.5732186611667</v>
      </c>
      <c r="I264" s="4">
        <f>IF($B$2-SUM($G$3:G264)&lt; 0.001,0,$B$2-SUM($G$3:G264))</f>
        <v>467625.44535647589</v>
      </c>
      <c r="J264" s="5">
        <f t="shared" si="39"/>
        <v>4181.4236111111113</v>
      </c>
      <c r="K264" s="5">
        <f t="shared" si="40"/>
        <v>2777.7777777777778</v>
      </c>
      <c r="L264" s="5">
        <f t="shared" si="41"/>
        <v>1403.6458333333542</v>
      </c>
      <c r="M264" s="5">
        <f>IF(E264&lt;=$B$3,$B$2-SUM($K$3:K264),0)</f>
        <v>272222.22222222632</v>
      </c>
      <c r="N264" s="2">
        <v>4.9000000000000004</v>
      </c>
      <c r="O264" s="1">
        <f t="shared" si="42"/>
        <v>6.125</v>
      </c>
      <c r="P264" s="1">
        <f t="shared" si="43"/>
        <v>5.1041666666666666E-3</v>
      </c>
      <c r="Q264" s="1">
        <f t="shared" si="44"/>
        <v>6.2515313091616163</v>
      </c>
    </row>
    <row r="265" spans="5:17" x14ac:dyDescent="0.2">
      <c r="E265" s="1">
        <v>263</v>
      </c>
      <c r="F265" s="4">
        <f t="shared" si="36"/>
        <v>6076.105395806896</v>
      </c>
      <c r="G265" s="4">
        <f t="shared" si="37"/>
        <v>3689.2671851332452</v>
      </c>
      <c r="H265" s="4">
        <f t="shared" si="38"/>
        <v>2386.8382106736517</v>
      </c>
      <c r="I265" s="4">
        <f>IF($B$2-SUM($G$3:G265)&lt; 0.001,0,$B$2-SUM($G$3:G265))</f>
        <v>463936.17817134259</v>
      </c>
      <c r="J265" s="5">
        <f t="shared" si="39"/>
        <v>4167.2453703703704</v>
      </c>
      <c r="K265" s="5">
        <f t="shared" si="40"/>
        <v>2777.7777777777778</v>
      </c>
      <c r="L265" s="5">
        <f t="shared" si="41"/>
        <v>1389.4675925926135</v>
      </c>
      <c r="M265" s="5">
        <f>IF(E265&lt;=$B$3,$B$2-SUM($K$3:K265),0)</f>
        <v>269444.44444444857</v>
      </c>
      <c r="N265" s="2">
        <v>4.9000000000000004</v>
      </c>
      <c r="O265" s="1">
        <f t="shared" si="42"/>
        <v>6.125</v>
      </c>
      <c r="P265" s="1">
        <f t="shared" si="43"/>
        <v>5.1041666666666666E-3</v>
      </c>
      <c r="Q265" s="1">
        <f t="shared" si="44"/>
        <v>6.2515313091616163</v>
      </c>
    </row>
    <row r="266" spans="5:17" x14ac:dyDescent="0.2">
      <c r="E266" s="1">
        <v>264</v>
      </c>
      <c r="F266" s="4">
        <f t="shared" si="36"/>
        <v>6076.105395806896</v>
      </c>
      <c r="G266" s="4">
        <f t="shared" si="37"/>
        <v>3708.0978197240293</v>
      </c>
      <c r="H266" s="4">
        <f t="shared" si="38"/>
        <v>2368.0075760828672</v>
      </c>
      <c r="I266" s="4">
        <f>IF($B$2-SUM($G$3:G266)&lt; 0.001,0,$B$2-SUM($G$3:G266))</f>
        <v>460228.08035161858</v>
      </c>
      <c r="J266" s="5">
        <f t="shared" si="39"/>
        <v>4153.0671296296296</v>
      </c>
      <c r="K266" s="5">
        <f t="shared" si="40"/>
        <v>2777.7777777777778</v>
      </c>
      <c r="L266" s="5">
        <f t="shared" si="41"/>
        <v>1375.2893518518729</v>
      </c>
      <c r="M266" s="5">
        <f>IF(E266&lt;=$B$3,$B$2-SUM($K$3:K266),0)</f>
        <v>266666.66666667082</v>
      </c>
      <c r="N266" s="2">
        <v>4.9000000000000004</v>
      </c>
      <c r="O266" s="1">
        <f t="shared" si="42"/>
        <v>6.125</v>
      </c>
      <c r="P266" s="1">
        <f t="shared" si="43"/>
        <v>5.1041666666666666E-3</v>
      </c>
      <c r="Q266" s="1">
        <f t="shared" si="44"/>
        <v>6.2515313091616163</v>
      </c>
    </row>
    <row r="267" spans="5:17" x14ac:dyDescent="0.2">
      <c r="E267" s="1">
        <v>265</v>
      </c>
      <c r="F267" s="4">
        <f t="shared" si="36"/>
        <v>6076.105395806896</v>
      </c>
      <c r="G267" s="4">
        <f t="shared" si="37"/>
        <v>3727.0245690122038</v>
      </c>
      <c r="H267" s="4">
        <f t="shared" si="38"/>
        <v>2349.0808267946927</v>
      </c>
      <c r="I267" s="4">
        <f>IF($B$2-SUM($G$3:G267)&lt; 0.001,0,$B$2-SUM($G$3:G267))</f>
        <v>456501.05578260636</v>
      </c>
      <c r="J267" s="5">
        <f t="shared" si="39"/>
        <v>4138.8888888888887</v>
      </c>
      <c r="K267" s="5">
        <f t="shared" si="40"/>
        <v>2777.7777777777778</v>
      </c>
      <c r="L267" s="5">
        <f t="shared" si="41"/>
        <v>1361.1111111111322</v>
      </c>
      <c r="M267" s="5">
        <f>IF(E267&lt;=$B$3,$B$2-SUM($K$3:K267),0)</f>
        <v>263888.88888889307</v>
      </c>
      <c r="N267" s="2">
        <v>4.9000000000000004</v>
      </c>
      <c r="O267" s="1">
        <f t="shared" si="42"/>
        <v>6.125</v>
      </c>
      <c r="P267" s="1">
        <f t="shared" si="43"/>
        <v>5.1041666666666666E-3</v>
      </c>
      <c r="Q267" s="1">
        <f t="shared" si="44"/>
        <v>6.2515313091616163</v>
      </c>
    </row>
    <row r="268" spans="5:17" x14ac:dyDescent="0.2">
      <c r="E268" s="1">
        <v>266</v>
      </c>
      <c r="F268" s="4">
        <f t="shared" si="36"/>
        <v>6076.105395806896</v>
      </c>
      <c r="G268" s="4">
        <f t="shared" si="37"/>
        <v>3746.047923583204</v>
      </c>
      <c r="H268" s="4">
        <f t="shared" si="38"/>
        <v>2330.0574722236925</v>
      </c>
      <c r="I268" s="4">
        <f>IF($B$2-SUM($G$3:G268)&lt; 0.001,0,$B$2-SUM($G$3:G268))</f>
        <v>452755.00785902317</v>
      </c>
      <c r="J268" s="5">
        <f t="shared" si="39"/>
        <v>4124.7106481481478</v>
      </c>
      <c r="K268" s="5">
        <f t="shared" si="40"/>
        <v>2777.7777777777778</v>
      </c>
      <c r="L268" s="5">
        <f t="shared" si="41"/>
        <v>1346.9328703703916</v>
      </c>
      <c r="M268" s="5">
        <f>IF(E268&lt;=$B$3,$B$2-SUM($K$3:K268),0)</f>
        <v>261111.11111111531</v>
      </c>
      <c r="N268" s="2">
        <v>4.9000000000000004</v>
      </c>
      <c r="O268" s="1">
        <f t="shared" si="42"/>
        <v>6.125</v>
      </c>
      <c r="P268" s="1">
        <f t="shared" si="43"/>
        <v>5.1041666666666666E-3</v>
      </c>
      <c r="Q268" s="1">
        <f t="shared" si="44"/>
        <v>6.2515313091616163</v>
      </c>
    </row>
    <row r="269" spans="5:17" x14ac:dyDescent="0.2">
      <c r="E269" s="1">
        <v>267</v>
      </c>
      <c r="F269" s="4">
        <f t="shared" si="36"/>
        <v>6076.105395806896</v>
      </c>
      <c r="G269" s="4">
        <f t="shared" si="37"/>
        <v>3765.1683765264929</v>
      </c>
      <c r="H269" s="4">
        <f t="shared" si="38"/>
        <v>2310.9370192804035</v>
      </c>
      <c r="I269" s="4">
        <f>IF($B$2-SUM($G$3:G269)&lt; 0.001,0,$B$2-SUM($G$3:G269))</f>
        <v>448989.83948249673</v>
      </c>
      <c r="J269" s="5">
        <f t="shared" si="39"/>
        <v>4110.5324074074069</v>
      </c>
      <c r="K269" s="5">
        <f t="shared" si="40"/>
        <v>2777.7777777777778</v>
      </c>
      <c r="L269" s="5">
        <f t="shared" si="41"/>
        <v>1332.7546296296512</v>
      </c>
      <c r="M269" s="5">
        <f>IF(E269&lt;=$B$3,$B$2-SUM($K$3:K269),0)</f>
        <v>258333.33333333756</v>
      </c>
      <c r="N269" s="2">
        <v>4.9000000000000004</v>
      </c>
      <c r="O269" s="1">
        <f t="shared" si="42"/>
        <v>6.125</v>
      </c>
      <c r="P269" s="1">
        <f t="shared" si="43"/>
        <v>5.1041666666666666E-3</v>
      </c>
      <c r="Q269" s="1">
        <f t="shared" si="44"/>
        <v>6.2515313091616163</v>
      </c>
    </row>
    <row r="270" spans="5:17" x14ac:dyDescent="0.2">
      <c r="E270" s="1">
        <v>268</v>
      </c>
      <c r="F270" s="4">
        <f t="shared" si="36"/>
        <v>6076.105395806896</v>
      </c>
      <c r="G270" s="4">
        <f t="shared" si="37"/>
        <v>3784.3864234483476</v>
      </c>
      <c r="H270" s="4">
        <f t="shared" si="38"/>
        <v>2291.7189723585489</v>
      </c>
      <c r="I270" s="4">
        <f>IF($B$2-SUM($G$3:G270)&lt; 0.001,0,$B$2-SUM($G$3:G270))</f>
        <v>445205.45305904839</v>
      </c>
      <c r="J270" s="5">
        <f t="shared" si="39"/>
        <v>4096.354166666667</v>
      </c>
      <c r="K270" s="5">
        <f t="shared" si="40"/>
        <v>2777.7777777777778</v>
      </c>
      <c r="L270" s="5">
        <f t="shared" si="41"/>
        <v>1318.5763888889105</v>
      </c>
      <c r="M270" s="5">
        <f>IF(E270&lt;=$B$3,$B$2-SUM($K$3:K270),0)</f>
        <v>255555.55555555981</v>
      </c>
      <c r="N270" s="2">
        <v>4.9000000000000004</v>
      </c>
      <c r="O270" s="1">
        <f t="shared" si="42"/>
        <v>6.125</v>
      </c>
      <c r="P270" s="1">
        <f t="shared" si="43"/>
        <v>5.1041666666666666E-3</v>
      </c>
      <c r="Q270" s="1">
        <f t="shared" si="44"/>
        <v>6.2515313091616163</v>
      </c>
    </row>
    <row r="271" spans="5:17" x14ac:dyDescent="0.2">
      <c r="E271" s="1">
        <v>269</v>
      </c>
      <c r="F271" s="4">
        <f t="shared" si="36"/>
        <v>6076.105395806896</v>
      </c>
      <c r="G271" s="4">
        <f t="shared" si="37"/>
        <v>3803.7025624846983</v>
      </c>
      <c r="H271" s="4">
        <f t="shared" si="38"/>
        <v>2272.4028333221981</v>
      </c>
      <c r="I271" s="4">
        <f>IF($B$2-SUM($G$3:G271)&lt; 0.001,0,$B$2-SUM($G$3:G271))</f>
        <v>441401.75049656373</v>
      </c>
      <c r="J271" s="5">
        <f t="shared" si="39"/>
        <v>4082.1759259259256</v>
      </c>
      <c r="K271" s="5">
        <f t="shared" si="40"/>
        <v>2777.7777777777778</v>
      </c>
      <c r="L271" s="5">
        <f t="shared" si="41"/>
        <v>1304.3981481481701</v>
      </c>
      <c r="M271" s="5">
        <f>IF(E271&lt;=$B$3,$B$2-SUM($K$3:K271),0)</f>
        <v>252777.77777778206</v>
      </c>
      <c r="N271" s="2">
        <v>4.9000000000000004</v>
      </c>
      <c r="O271" s="1">
        <f t="shared" si="42"/>
        <v>6.125</v>
      </c>
      <c r="P271" s="1">
        <f t="shared" si="43"/>
        <v>5.1041666666666666E-3</v>
      </c>
      <c r="Q271" s="1">
        <f t="shared" si="44"/>
        <v>6.2515313091616163</v>
      </c>
    </row>
    <row r="272" spans="5:17" x14ac:dyDescent="0.2">
      <c r="E272" s="1">
        <v>270</v>
      </c>
      <c r="F272" s="4">
        <f t="shared" si="36"/>
        <v>6076.105395806896</v>
      </c>
      <c r="G272" s="4">
        <f t="shared" si="37"/>
        <v>3823.1172943140473</v>
      </c>
      <c r="H272" s="4">
        <f t="shared" si="38"/>
        <v>2252.9881014928492</v>
      </c>
      <c r="I272" s="4">
        <f>IF($B$2-SUM($G$3:G272)&lt; 0.001,0,$B$2-SUM($G$3:G272))</f>
        <v>437578.63320224965</v>
      </c>
      <c r="J272" s="5">
        <f t="shared" si="39"/>
        <v>4067.9976851851852</v>
      </c>
      <c r="K272" s="5">
        <f t="shared" si="40"/>
        <v>2777.7777777777778</v>
      </c>
      <c r="L272" s="5">
        <f t="shared" si="41"/>
        <v>1290.2199074074294</v>
      </c>
      <c r="M272" s="5">
        <f>IF(E272&lt;=$B$3,$B$2-SUM($K$3:K272),0)</f>
        <v>250000.00000000431</v>
      </c>
      <c r="N272" s="2">
        <v>4.9000000000000004</v>
      </c>
      <c r="O272" s="1">
        <f t="shared" si="42"/>
        <v>6.125</v>
      </c>
      <c r="P272" s="1">
        <f t="shared" si="43"/>
        <v>5.1041666666666666E-3</v>
      </c>
      <c r="Q272" s="1">
        <f t="shared" si="44"/>
        <v>6.2515313091616163</v>
      </c>
    </row>
    <row r="273" spans="5:17" x14ac:dyDescent="0.2">
      <c r="E273" s="1">
        <v>271</v>
      </c>
      <c r="F273" s="4">
        <f t="shared" si="36"/>
        <v>6076.105395806896</v>
      </c>
      <c r="G273" s="4">
        <f t="shared" si="37"/>
        <v>3842.6311221704427</v>
      </c>
      <c r="H273" s="4">
        <f t="shared" si="38"/>
        <v>2233.4742736364537</v>
      </c>
      <c r="I273" s="4">
        <f>IF($B$2-SUM($G$3:G273)&lt; 0.001,0,$B$2-SUM($G$3:G273))</f>
        <v>433736.00208007917</v>
      </c>
      <c r="J273" s="5">
        <f t="shared" si="39"/>
        <v>4053.8194444444443</v>
      </c>
      <c r="K273" s="5">
        <f t="shared" si="40"/>
        <v>2777.7777777777778</v>
      </c>
      <c r="L273" s="5">
        <f t="shared" si="41"/>
        <v>1276.0416666666888</v>
      </c>
      <c r="M273" s="5">
        <f>IF(E273&lt;=$B$3,$B$2-SUM($K$3:K273),0)</f>
        <v>247222.22222222656</v>
      </c>
      <c r="N273" s="2">
        <v>4.9000000000000004</v>
      </c>
      <c r="O273" s="1">
        <f t="shared" si="42"/>
        <v>6.125</v>
      </c>
      <c r="P273" s="1">
        <f t="shared" si="43"/>
        <v>5.1041666666666666E-3</v>
      </c>
      <c r="Q273" s="1">
        <f t="shared" si="44"/>
        <v>6.2515313091616163</v>
      </c>
    </row>
    <row r="274" spans="5:17" x14ac:dyDescent="0.2">
      <c r="E274" s="1">
        <v>272</v>
      </c>
      <c r="F274" s="4">
        <f t="shared" si="36"/>
        <v>6076.105395806896</v>
      </c>
      <c r="G274" s="4">
        <f t="shared" si="37"/>
        <v>3862.2445518565214</v>
      </c>
      <c r="H274" s="4">
        <f t="shared" si="38"/>
        <v>2213.8608439503746</v>
      </c>
      <c r="I274" s="4">
        <f>IF($B$2-SUM($G$3:G274)&lt; 0.001,0,$B$2-SUM($G$3:G274))</f>
        <v>429873.75752822263</v>
      </c>
      <c r="J274" s="5">
        <f t="shared" si="39"/>
        <v>4039.6412037037039</v>
      </c>
      <c r="K274" s="5">
        <f t="shared" si="40"/>
        <v>2777.7777777777778</v>
      </c>
      <c r="L274" s="5">
        <f t="shared" si="41"/>
        <v>1261.8634259259481</v>
      </c>
      <c r="M274" s="5">
        <f>IF(E274&lt;=$B$3,$B$2-SUM($K$3:K274),0)</f>
        <v>244444.4444444488</v>
      </c>
      <c r="N274" s="2">
        <v>4.9000000000000004</v>
      </c>
      <c r="O274" s="1">
        <f t="shared" si="42"/>
        <v>6.125</v>
      </c>
      <c r="P274" s="1">
        <f t="shared" si="43"/>
        <v>5.1041666666666666E-3</v>
      </c>
      <c r="Q274" s="1">
        <f t="shared" si="44"/>
        <v>6.2515313091616163</v>
      </c>
    </row>
    <row r="275" spans="5:17" x14ac:dyDescent="0.2">
      <c r="E275" s="1">
        <v>273</v>
      </c>
      <c r="F275" s="4">
        <f t="shared" si="36"/>
        <v>6076.105395806896</v>
      </c>
      <c r="G275" s="4">
        <f t="shared" si="37"/>
        <v>3881.9580917566223</v>
      </c>
      <c r="H275" s="4">
        <f t="shared" si="38"/>
        <v>2194.1473040502742</v>
      </c>
      <c r="I275" s="4">
        <f>IF($B$2-SUM($G$3:G275)&lt; 0.001,0,$B$2-SUM($G$3:G275))</f>
        <v>425991.79943646595</v>
      </c>
      <c r="J275" s="5">
        <f t="shared" si="39"/>
        <v>4025.4629629629626</v>
      </c>
      <c r="K275" s="5">
        <f t="shared" si="40"/>
        <v>2777.7777777777778</v>
      </c>
      <c r="L275" s="5">
        <f t="shared" si="41"/>
        <v>1247.6851851852075</v>
      </c>
      <c r="M275" s="5">
        <f>IF(E275&lt;=$B$3,$B$2-SUM($K$3:K275),0)</f>
        <v>241666.66666667105</v>
      </c>
      <c r="N275" s="2">
        <v>4.9000000000000004</v>
      </c>
      <c r="O275" s="1">
        <f t="shared" si="42"/>
        <v>6.125</v>
      </c>
      <c r="P275" s="1">
        <f t="shared" si="43"/>
        <v>5.1041666666666666E-3</v>
      </c>
      <c r="Q275" s="1">
        <f t="shared" si="44"/>
        <v>6.2515313091616163</v>
      </c>
    </row>
    <row r="276" spans="5:17" x14ac:dyDescent="0.2">
      <c r="E276" s="1">
        <v>274</v>
      </c>
      <c r="F276" s="4">
        <f t="shared" si="36"/>
        <v>6076.105395806896</v>
      </c>
      <c r="G276" s="4">
        <f t="shared" si="37"/>
        <v>3901.7722528499635</v>
      </c>
      <c r="H276" s="4">
        <f t="shared" si="38"/>
        <v>2174.333142956933</v>
      </c>
      <c r="I276" s="4">
        <f>IF($B$2-SUM($G$3:G276)&lt; 0.001,0,$B$2-SUM($G$3:G276))</f>
        <v>422090.02718361595</v>
      </c>
      <c r="J276" s="5">
        <f t="shared" si="39"/>
        <v>4011.2847222222217</v>
      </c>
      <c r="K276" s="5">
        <f t="shared" si="40"/>
        <v>2777.7777777777778</v>
      </c>
      <c r="L276" s="5">
        <f t="shared" si="41"/>
        <v>1233.5069444444669</v>
      </c>
      <c r="M276" s="5">
        <f>IF(E276&lt;=$B$3,$B$2-SUM($K$3:K276),0)</f>
        <v>238888.8888888933</v>
      </c>
      <c r="N276" s="2">
        <v>4.9000000000000004</v>
      </c>
      <c r="O276" s="1">
        <f t="shared" si="42"/>
        <v>6.125</v>
      </c>
      <c r="P276" s="1">
        <f t="shared" si="43"/>
        <v>5.1041666666666666E-3</v>
      </c>
      <c r="Q276" s="1">
        <f t="shared" si="44"/>
        <v>6.2515313091616163</v>
      </c>
    </row>
    <row r="277" spans="5:17" x14ac:dyDescent="0.2">
      <c r="E277" s="1">
        <v>275</v>
      </c>
      <c r="F277" s="4">
        <f t="shared" si="36"/>
        <v>6076.105395806896</v>
      </c>
      <c r="G277" s="4">
        <f t="shared" si="37"/>
        <v>3921.6875487238854</v>
      </c>
      <c r="H277" s="4">
        <f t="shared" si="38"/>
        <v>2154.4178470830111</v>
      </c>
      <c r="I277" s="4">
        <f>IF($B$2-SUM($G$3:G277)&lt; 0.001,0,$B$2-SUM($G$3:G277))</f>
        <v>418168.33963489207</v>
      </c>
      <c r="J277" s="5">
        <f t="shared" si="39"/>
        <v>3997.1064814814818</v>
      </c>
      <c r="K277" s="5">
        <f t="shared" si="40"/>
        <v>2777.7777777777778</v>
      </c>
      <c r="L277" s="5">
        <f t="shared" si="41"/>
        <v>1219.3287037037264</v>
      </c>
      <c r="M277" s="5">
        <f>IF(E277&lt;=$B$3,$B$2-SUM($K$3:K277),0)</f>
        <v>236111.11111111555</v>
      </c>
      <c r="N277" s="2">
        <v>4.9000000000000004</v>
      </c>
      <c r="O277" s="1">
        <f t="shared" si="42"/>
        <v>6.125</v>
      </c>
      <c r="P277" s="1">
        <f t="shared" si="43"/>
        <v>5.1041666666666666E-3</v>
      </c>
      <c r="Q277" s="1">
        <f t="shared" si="44"/>
        <v>6.2515313091616163</v>
      </c>
    </row>
    <row r="278" spans="5:17" x14ac:dyDescent="0.2">
      <c r="E278" s="1">
        <v>276</v>
      </c>
      <c r="F278" s="4">
        <f t="shared" si="36"/>
        <v>6076.105395806896</v>
      </c>
      <c r="G278" s="4">
        <f t="shared" si="37"/>
        <v>3941.7044955871638</v>
      </c>
      <c r="H278" s="4">
        <f t="shared" si="38"/>
        <v>2134.4009002197326</v>
      </c>
      <c r="I278" s="4">
        <f>IF($B$2-SUM($G$3:G278)&lt; 0.001,0,$B$2-SUM($G$3:G278))</f>
        <v>414226.63513930491</v>
      </c>
      <c r="J278" s="5">
        <f t="shared" si="39"/>
        <v>3982.9282407407409</v>
      </c>
      <c r="K278" s="5">
        <f t="shared" si="40"/>
        <v>2777.7777777777778</v>
      </c>
      <c r="L278" s="5">
        <f t="shared" si="41"/>
        <v>1205.1504629629858</v>
      </c>
      <c r="M278" s="5">
        <f>IF(E278&lt;=$B$3,$B$2-SUM($K$3:K278),0)</f>
        <v>233333.3333333378</v>
      </c>
      <c r="N278" s="2">
        <v>4.9000000000000004</v>
      </c>
      <c r="O278" s="1">
        <f t="shared" si="42"/>
        <v>6.125</v>
      </c>
      <c r="P278" s="1">
        <f t="shared" si="43"/>
        <v>5.1041666666666666E-3</v>
      </c>
      <c r="Q278" s="1">
        <f t="shared" si="44"/>
        <v>6.2515313091616163</v>
      </c>
    </row>
    <row r="279" spans="5:17" x14ac:dyDescent="0.2">
      <c r="E279" s="1">
        <v>277</v>
      </c>
      <c r="F279" s="4">
        <f t="shared" si="36"/>
        <v>6076.105395806896</v>
      </c>
      <c r="G279" s="4">
        <f t="shared" si="37"/>
        <v>3961.8236122833905</v>
      </c>
      <c r="H279" s="4">
        <f t="shared" si="38"/>
        <v>2114.2817835235064</v>
      </c>
      <c r="I279" s="4">
        <f>IF($B$2-SUM($G$3:G279)&lt; 0.001,0,$B$2-SUM($G$3:G279))</f>
        <v>410264.81152702158</v>
      </c>
      <c r="J279" s="5">
        <f t="shared" si="39"/>
        <v>3968.75</v>
      </c>
      <c r="K279" s="5">
        <f t="shared" si="40"/>
        <v>2777.7777777777778</v>
      </c>
      <c r="L279" s="5">
        <f t="shared" si="41"/>
        <v>1190.9722222222451</v>
      </c>
      <c r="M279" s="5">
        <f>IF(E279&lt;=$B$3,$B$2-SUM($K$3:K279),0)</f>
        <v>230555.55555556004</v>
      </c>
      <c r="N279" s="2">
        <v>4.9000000000000004</v>
      </c>
      <c r="O279" s="1">
        <f t="shared" si="42"/>
        <v>6.125</v>
      </c>
      <c r="P279" s="1">
        <f t="shared" si="43"/>
        <v>5.1041666666666666E-3</v>
      </c>
      <c r="Q279" s="1">
        <f t="shared" si="44"/>
        <v>6.2515313091616163</v>
      </c>
    </row>
    <row r="280" spans="5:17" x14ac:dyDescent="0.2">
      <c r="E280" s="1">
        <v>278</v>
      </c>
      <c r="F280" s="4">
        <f t="shared" si="36"/>
        <v>6076.105395806896</v>
      </c>
      <c r="G280" s="4">
        <f t="shared" si="37"/>
        <v>3982.0454203044201</v>
      </c>
      <c r="H280" s="4">
        <f t="shared" si="38"/>
        <v>2094.0599755024759</v>
      </c>
      <c r="I280" s="4">
        <f>IF($B$2-SUM($G$3:G280)&lt; 0.001,0,$B$2-SUM($G$3:G280))</f>
        <v>406282.76610671717</v>
      </c>
      <c r="J280" s="5">
        <f t="shared" si="39"/>
        <v>3954.5717592592591</v>
      </c>
      <c r="K280" s="5">
        <f t="shared" si="40"/>
        <v>2777.7777777777778</v>
      </c>
      <c r="L280" s="5">
        <f t="shared" si="41"/>
        <v>1176.7939814815045</v>
      </c>
      <c r="M280" s="5">
        <f>IF(E280&lt;=$B$3,$B$2-SUM($K$3:K280),0)</f>
        <v>227777.77777778229</v>
      </c>
      <c r="N280" s="2">
        <v>4.9000000000000004</v>
      </c>
      <c r="O280" s="1">
        <f t="shared" si="42"/>
        <v>6.125</v>
      </c>
      <c r="P280" s="1">
        <f t="shared" si="43"/>
        <v>5.1041666666666666E-3</v>
      </c>
      <c r="Q280" s="1">
        <f t="shared" si="44"/>
        <v>6.2515313091616163</v>
      </c>
    </row>
    <row r="281" spans="5:17" x14ac:dyDescent="0.2">
      <c r="E281" s="1">
        <v>279</v>
      </c>
      <c r="F281" s="4">
        <f t="shared" si="36"/>
        <v>6076.105395806896</v>
      </c>
      <c r="G281" s="4">
        <f t="shared" si="37"/>
        <v>4002.3704438038917</v>
      </c>
      <c r="H281" s="4">
        <f t="shared" si="38"/>
        <v>2073.7349520030048</v>
      </c>
      <c r="I281" s="4">
        <f>IF($B$2-SUM($G$3:G281)&lt; 0.001,0,$B$2-SUM($G$3:G281))</f>
        <v>402280.39566291333</v>
      </c>
      <c r="J281" s="5">
        <f t="shared" si="39"/>
        <v>3940.3935185185182</v>
      </c>
      <c r="K281" s="5">
        <f t="shared" si="40"/>
        <v>2777.7777777777778</v>
      </c>
      <c r="L281" s="5">
        <f t="shared" si="41"/>
        <v>1162.6157407407638</v>
      </c>
      <c r="M281" s="5">
        <f>IF(E281&lt;=$B$3,$B$2-SUM($K$3:K281),0)</f>
        <v>225000.00000000454</v>
      </c>
      <c r="N281" s="2">
        <v>4.9000000000000004</v>
      </c>
      <c r="O281" s="1">
        <f t="shared" si="42"/>
        <v>6.125</v>
      </c>
      <c r="P281" s="1">
        <f t="shared" si="43"/>
        <v>5.1041666666666666E-3</v>
      </c>
      <c r="Q281" s="1">
        <f t="shared" si="44"/>
        <v>6.2515313091616163</v>
      </c>
    </row>
    <row r="282" spans="5:17" x14ac:dyDescent="0.2">
      <c r="E282" s="1">
        <v>280</v>
      </c>
      <c r="F282" s="4">
        <f t="shared" si="36"/>
        <v>6076.105395806896</v>
      </c>
      <c r="G282" s="4">
        <f t="shared" si="37"/>
        <v>4022.7992096108073</v>
      </c>
      <c r="H282" s="4">
        <f t="shared" si="38"/>
        <v>2053.3061861960891</v>
      </c>
      <c r="I282" s="4">
        <f>IF($B$2-SUM($G$3:G282)&lt; 0.001,0,$B$2-SUM($G$3:G282))</f>
        <v>398257.59645330254</v>
      </c>
      <c r="J282" s="5">
        <f t="shared" si="39"/>
        <v>3926.2152777777778</v>
      </c>
      <c r="K282" s="5">
        <f t="shared" si="40"/>
        <v>2777.7777777777778</v>
      </c>
      <c r="L282" s="5">
        <f t="shared" si="41"/>
        <v>1148.4375000000232</v>
      </c>
      <c r="M282" s="5">
        <f>IF(E282&lt;=$B$3,$B$2-SUM($K$3:K282),0)</f>
        <v>222222.22222222679</v>
      </c>
      <c r="N282" s="2">
        <v>4.9000000000000004</v>
      </c>
      <c r="O282" s="1">
        <f t="shared" si="42"/>
        <v>6.125</v>
      </c>
      <c r="P282" s="1">
        <f t="shared" si="43"/>
        <v>5.1041666666666666E-3</v>
      </c>
      <c r="Q282" s="1">
        <f t="shared" si="44"/>
        <v>6.2515313091616163</v>
      </c>
    </row>
    <row r="283" spans="5:17" x14ac:dyDescent="0.2">
      <c r="E283" s="1">
        <v>281</v>
      </c>
      <c r="F283" s="4">
        <f t="shared" si="36"/>
        <v>6076.105395806896</v>
      </c>
      <c r="G283" s="4">
        <f t="shared" si="37"/>
        <v>4043.3322472431946</v>
      </c>
      <c r="H283" s="4">
        <f t="shared" si="38"/>
        <v>2032.7731485637012</v>
      </c>
      <c r="I283" s="4">
        <f>IF($B$2-SUM($G$3:G283)&lt; 0.001,0,$B$2-SUM($G$3:G283))</f>
        <v>394214.26420605939</v>
      </c>
      <c r="J283" s="5">
        <f t="shared" si="39"/>
        <v>3912.0370370370374</v>
      </c>
      <c r="K283" s="5">
        <f t="shared" si="40"/>
        <v>2777.7777777777778</v>
      </c>
      <c r="L283" s="5">
        <f t="shared" si="41"/>
        <v>1134.2592592592828</v>
      </c>
      <c r="M283" s="5">
        <f>IF(E283&lt;=$B$3,$B$2-SUM($K$3:K283),0)</f>
        <v>219444.44444444904</v>
      </c>
      <c r="N283" s="2">
        <v>4.9000000000000004</v>
      </c>
      <c r="O283" s="1">
        <f t="shared" si="42"/>
        <v>6.125</v>
      </c>
      <c r="P283" s="1">
        <f t="shared" si="43"/>
        <v>5.1041666666666666E-3</v>
      </c>
      <c r="Q283" s="1">
        <f t="shared" si="44"/>
        <v>6.2515313091616163</v>
      </c>
    </row>
    <row r="284" spans="5:17" x14ac:dyDescent="0.2">
      <c r="E284" s="1">
        <v>282</v>
      </c>
      <c r="F284" s="4">
        <f t="shared" si="36"/>
        <v>6076.105395806896</v>
      </c>
      <c r="G284" s="4">
        <f t="shared" si="37"/>
        <v>4063.9700889218329</v>
      </c>
      <c r="H284" s="4">
        <f t="shared" si="38"/>
        <v>2012.1353068850638</v>
      </c>
      <c r="I284" s="4">
        <f>IF($B$2-SUM($G$3:G284)&lt; 0.001,0,$B$2-SUM($G$3:G284))</f>
        <v>390150.29411713756</v>
      </c>
      <c r="J284" s="5">
        <f t="shared" si="39"/>
        <v>3897.8587962962961</v>
      </c>
      <c r="K284" s="5">
        <f t="shared" si="40"/>
        <v>2777.7777777777778</v>
      </c>
      <c r="L284" s="5">
        <f t="shared" si="41"/>
        <v>1120.0810185185421</v>
      </c>
      <c r="M284" s="5">
        <f>IF(E284&lt;=$B$3,$B$2-SUM($K$3:K284),0)</f>
        <v>216666.66666667128</v>
      </c>
      <c r="N284" s="2">
        <v>4.9000000000000004</v>
      </c>
      <c r="O284" s="1">
        <f t="shared" si="42"/>
        <v>6.125</v>
      </c>
      <c r="P284" s="1">
        <f t="shared" si="43"/>
        <v>5.1041666666666666E-3</v>
      </c>
      <c r="Q284" s="1">
        <f t="shared" si="44"/>
        <v>6.2515313091616163</v>
      </c>
    </row>
    <row r="285" spans="5:17" x14ac:dyDescent="0.2">
      <c r="E285" s="1">
        <v>283</v>
      </c>
      <c r="F285" s="4">
        <f t="shared" si="36"/>
        <v>6076.105395806896</v>
      </c>
      <c r="G285" s="4">
        <f t="shared" si="37"/>
        <v>4084.7132695840373</v>
      </c>
      <c r="H285" s="4">
        <f t="shared" si="38"/>
        <v>1991.3921262228589</v>
      </c>
      <c r="I285" s="4">
        <f>IF($B$2-SUM($G$3:G285)&lt; 0.001,0,$B$2-SUM($G$3:G285))</f>
        <v>386065.58084755356</v>
      </c>
      <c r="J285" s="5">
        <f t="shared" si="39"/>
        <v>3883.6805555555557</v>
      </c>
      <c r="K285" s="5">
        <f t="shared" si="40"/>
        <v>2777.7777777777778</v>
      </c>
      <c r="L285" s="5">
        <f t="shared" si="41"/>
        <v>1105.9027777778015</v>
      </c>
      <c r="M285" s="5">
        <f>IF(E285&lt;=$B$3,$B$2-SUM($K$3:K285),0)</f>
        <v>213888.88888889353</v>
      </c>
      <c r="N285" s="2">
        <v>4.9000000000000004</v>
      </c>
      <c r="O285" s="1">
        <f t="shared" si="42"/>
        <v>6.125</v>
      </c>
      <c r="P285" s="1">
        <f t="shared" si="43"/>
        <v>5.1041666666666666E-3</v>
      </c>
      <c r="Q285" s="1">
        <f t="shared" si="44"/>
        <v>6.2515313091616163</v>
      </c>
    </row>
    <row r="286" spans="5:17" x14ac:dyDescent="0.2">
      <c r="E286" s="1">
        <v>284</v>
      </c>
      <c r="F286" s="4">
        <f t="shared" si="36"/>
        <v>6076.105395806896</v>
      </c>
      <c r="G286" s="4">
        <f t="shared" si="37"/>
        <v>4105.5623268975405</v>
      </c>
      <c r="H286" s="4">
        <f t="shared" si="38"/>
        <v>1970.5430689093557</v>
      </c>
      <c r="I286" s="4">
        <f>IF($B$2-SUM($G$3:G286)&lt; 0.001,0,$B$2-SUM($G$3:G286))</f>
        <v>381960.01852065604</v>
      </c>
      <c r="J286" s="5">
        <f t="shared" si="39"/>
        <v>3869.5023148148148</v>
      </c>
      <c r="K286" s="5">
        <f t="shared" si="40"/>
        <v>2777.7777777777778</v>
      </c>
      <c r="L286" s="5">
        <f t="shared" si="41"/>
        <v>1091.7245370370608</v>
      </c>
      <c r="M286" s="5">
        <f>IF(E286&lt;=$B$3,$B$2-SUM($K$3:K286),0)</f>
        <v>211111.11111111578</v>
      </c>
      <c r="N286" s="2">
        <v>4.9000000000000004</v>
      </c>
      <c r="O286" s="1">
        <f t="shared" si="42"/>
        <v>6.125</v>
      </c>
      <c r="P286" s="1">
        <f t="shared" si="43"/>
        <v>5.1041666666666666E-3</v>
      </c>
      <c r="Q286" s="1">
        <f t="shared" si="44"/>
        <v>6.2515313091616163</v>
      </c>
    </row>
    <row r="287" spans="5:17" x14ac:dyDescent="0.2">
      <c r="E287" s="1">
        <v>285</v>
      </c>
      <c r="F287" s="4">
        <f t="shared" si="36"/>
        <v>6076.105395806896</v>
      </c>
      <c r="G287" s="4">
        <f t="shared" si="37"/>
        <v>4126.5178012744127</v>
      </c>
      <c r="H287" s="4">
        <f t="shared" si="38"/>
        <v>1949.5875945324835</v>
      </c>
      <c r="I287" s="4">
        <f>IF($B$2-SUM($G$3:G287)&lt; 0.001,0,$B$2-SUM($G$3:G287))</f>
        <v>377833.50071938161</v>
      </c>
      <c r="J287" s="5">
        <f t="shared" si="39"/>
        <v>3855.3240740740739</v>
      </c>
      <c r="K287" s="5">
        <f t="shared" si="40"/>
        <v>2777.7777777777778</v>
      </c>
      <c r="L287" s="5">
        <f t="shared" si="41"/>
        <v>1077.5462962963202</v>
      </c>
      <c r="M287" s="5">
        <f>IF(E287&lt;=$B$3,$B$2-SUM($K$3:K287),0)</f>
        <v>208333.33333333803</v>
      </c>
      <c r="N287" s="2">
        <v>4.9000000000000004</v>
      </c>
      <c r="O287" s="1">
        <f t="shared" si="42"/>
        <v>6.125</v>
      </c>
      <c r="P287" s="1">
        <f t="shared" si="43"/>
        <v>5.1041666666666666E-3</v>
      </c>
      <c r="Q287" s="1">
        <f t="shared" si="44"/>
        <v>6.2515313091616163</v>
      </c>
    </row>
    <row r="288" spans="5:17" x14ac:dyDescent="0.2">
      <c r="E288" s="1">
        <v>286</v>
      </c>
      <c r="F288" s="4">
        <f t="shared" si="36"/>
        <v>6076.105395806896</v>
      </c>
      <c r="G288" s="4">
        <f t="shared" si="37"/>
        <v>4147.5802358850851</v>
      </c>
      <c r="H288" s="4">
        <f t="shared" si="38"/>
        <v>1928.5251599218116</v>
      </c>
      <c r="I288" s="4">
        <f>IF($B$2-SUM($G$3:G288)&lt; 0.001,0,$B$2-SUM($G$3:G288))</f>
        <v>373685.92048349651</v>
      </c>
      <c r="J288" s="5">
        <f t="shared" si="39"/>
        <v>3841.1458333333335</v>
      </c>
      <c r="K288" s="5">
        <f t="shared" si="40"/>
        <v>2777.7777777777778</v>
      </c>
      <c r="L288" s="5">
        <f t="shared" si="41"/>
        <v>1063.3680555555798</v>
      </c>
      <c r="M288" s="5">
        <f>IF(E288&lt;=$B$3,$B$2-SUM($K$3:K288),0)</f>
        <v>205555.55555556028</v>
      </c>
      <c r="N288" s="2">
        <v>4.9000000000000004</v>
      </c>
      <c r="O288" s="1">
        <f t="shared" si="42"/>
        <v>6.125</v>
      </c>
      <c r="P288" s="1">
        <f t="shared" si="43"/>
        <v>5.1041666666666666E-3</v>
      </c>
      <c r="Q288" s="1">
        <f t="shared" si="44"/>
        <v>6.2515313091616163</v>
      </c>
    </row>
    <row r="289" spans="5:17" x14ac:dyDescent="0.2">
      <c r="E289" s="1">
        <v>287</v>
      </c>
      <c r="F289" s="4">
        <f t="shared" si="36"/>
        <v>6076.105395806896</v>
      </c>
      <c r="G289" s="4">
        <f t="shared" si="37"/>
        <v>4168.7501766724154</v>
      </c>
      <c r="H289" s="4">
        <f t="shared" si="38"/>
        <v>1907.3552191344811</v>
      </c>
      <c r="I289" s="4">
        <f>IF($B$2-SUM($G$3:G289)&lt; 0.001,0,$B$2-SUM($G$3:G289))</f>
        <v>369517.17030682415</v>
      </c>
      <c r="J289" s="5">
        <f t="shared" si="39"/>
        <v>3826.9675925925922</v>
      </c>
      <c r="K289" s="5">
        <f t="shared" si="40"/>
        <v>2777.7777777777778</v>
      </c>
      <c r="L289" s="5">
        <f t="shared" si="41"/>
        <v>1049.1898148148391</v>
      </c>
      <c r="M289" s="5">
        <f>IF(E289&lt;=$B$3,$B$2-SUM($K$3:K289),0)</f>
        <v>202777.77777778252</v>
      </c>
      <c r="N289" s="2">
        <v>4.9000000000000004</v>
      </c>
      <c r="O289" s="1">
        <f t="shared" si="42"/>
        <v>6.125</v>
      </c>
      <c r="P289" s="1">
        <f t="shared" si="43"/>
        <v>5.1041666666666666E-3</v>
      </c>
      <c r="Q289" s="1">
        <f t="shared" si="44"/>
        <v>6.2515313091616163</v>
      </c>
    </row>
    <row r="290" spans="5:17" x14ac:dyDescent="0.2">
      <c r="E290" s="1">
        <v>288</v>
      </c>
      <c r="F290" s="4">
        <f t="shared" si="36"/>
        <v>6076.105395806896</v>
      </c>
      <c r="G290" s="4">
        <f t="shared" si="37"/>
        <v>4190.0281723658481</v>
      </c>
      <c r="H290" s="4">
        <f t="shared" si="38"/>
        <v>1886.0772234410481</v>
      </c>
      <c r="I290" s="4">
        <f>IF($B$2-SUM($G$3:G290)&lt; 0.001,0,$B$2-SUM($G$3:G290))</f>
        <v>365327.14213445829</v>
      </c>
      <c r="J290" s="5">
        <f t="shared" si="39"/>
        <v>3812.7893518518517</v>
      </c>
      <c r="K290" s="5">
        <f t="shared" si="40"/>
        <v>2777.7777777777778</v>
      </c>
      <c r="L290" s="5">
        <f t="shared" si="41"/>
        <v>1035.0115740740985</v>
      </c>
      <c r="M290" s="5">
        <f>IF(E290&lt;=$B$3,$B$2-SUM($K$3:K290),0)</f>
        <v>200000.00000000477</v>
      </c>
      <c r="N290" s="2">
        <v>4.9000000000000004</v>
      </c>
      <c r="O290" s="1">
        <f t="shared" si="42"/>
        <v>6.125</v>
      </c>
      <c r="P290" s="1">
        <f t="shared" si="43"/>
        <v>5.1041666666666666E-3</v>
      </c>
      <c r="Q290" s="1">
        <f t="shared" si="44"/>
        <v>6.2515313091616163</v>
      </c>
    </row>
    <row r="291" spans="5:17" x14ac:dyDescent="0.2">
      <c r="E291" s="1">
        <v>289</v>
      </c>
      <c r="F291" s="4">
        <f t="shared" si="36"/>
        <v>6076.105395806896</v>
      </c>
      <c r="G291" s="4">
        <f t="shared" si="37"/>
        <v>4211.4147744956317</v>
      </c>
      <c r="H291" s="4">
        <f t="shared" si="38"/>
        <v>1864.690621311265</v>
      </c>
      <c r="I291" s="4">
        <f>IF($B$2-SUM($G$3:G291)&lt; 0.001,0,$B$2-SUM($G$3:G291))</f>
        <v>361115.72735996265</v>
      </c>
      <c r="J291" s="5">
        <f t="shared" si="39"/>
        <v>3798.6111111111113</v>
      </c>
      <c r="K291" s="5">
        <f t="shared" si="40"/>
        <v>2777.7777777777778</v>
      </c>
      <c r="L291" s="5">
        <f t="shared" si="41"/>
        <v>1020.8333333333578</v>
      </c>
      <c r="M291" s="5">
        <f>IF(E291&lt;=$B$3,$B$2-SUM($K$3:K291),0)</f>
        <v>197222.22222222702</v>
      </c>
      <c r="N291" s="2">
        <v>4.9000000000000004</v>
      </c>
      <c r="O291" s="1">
        <f t="shared" si="42"/>
        <v>6.125</v>
      </c>
      <c r="P291" s="1">
        <f t="shared" si="43"/>
        <v>5.1041666666666666E-3</v>
      </c>
      <c r="Q291" s="1">
        <f t="shared" si="44"/>
        <v>6.2515313091616163</v>
      </c>
    </row>
    <row r="292" spans="5:17" x14ac:dyDescent="0.2">
      <c r="E292" s="1">
        <v>290</v>
      </c>
      <c r="F292" s="4">
        <f t="shared" si="36"/>
        <v>6076.105395806896</v>
      </c>
      <c r="G292" s="4">
        <f t="shared" si="37"/>
        <v>4232.9105374071205</v>
      </c>
      <c r="H292" s="4">
        <f t="shared" si="38"/>
        <v>1843.1948583997757</v>
      </c>
      <c r="I292" s="4">
        <f>IF($B$2-SUM($G$3:G292)&lt; 0.001,0,$B$2-SUM($G$3:G292))</f>
        <v>356882.8168225555</v>
      </c>
      <c r="J292" s="5">
        <f t="shared" si="39"/>
        <v>3784.4328703703704</v>
      </c>
      <c r="K292" s="5">
        <f t="shared" si="40"/>
        <v>2777.7777777777778</v>
      </c>
      <c r="L292" s="5">
        <f t="shared" si="41"/>
        <v>1006.6550925926172</v>
      </c>
      <c r="M292" s="5">
        <f>IF(E292&lt;=$B$3,$B$2-SUM($K$3:K292),0)</f>
        <v>194444.44444444927</v>
      </c>
      <c r="N292" s="2">
        <v>4.9000000000000004</v>
      </c>
      <c r="O292" s="1">
        <f t="shared" si="42"/>
        <v>6.125</v>
      </c>
      <c r="P292" s="1">
        <f t="shared" si="43"/>
        <v>5.1041666666666666E-3</v>
      </c>
      <c r="Q292" s="1">
        <f t="shared" si="44"/>
        <v>6.2515313091616163</v>
      </c>
    </row>
    <row r="293" spans="5:17" x14ac:dyDescent="0.2">
      <c r="E293" s="1">
        <v>291</v>
      </c>
      <c r="F293" s="4">
        <f t="shared" si="36"/>
        <v>6076.105395806896</v>
      </c>
      <c r="G293" s="4">
        <f t="shared" si="37"/>
        <v>4254.516018275136</v>
      </c>
      <c r="H293" s="4">
        <f t="shared" si="38"/>
        <v>1821.5893775317606</v>
      </c>
      <c r="I293" s="4">
        <f>IF($B$2-SUM($G$3:G293)&lt; 0.001,0,$B$2-SUM($G$3:G293))</f>
        <v>352628.30080428033</v>
      </c>
      <c r="J293" s="5">
        <f t="shared" si="39"/>
        <v>3770.2546296296296</v>
      </c>
      <c r="K293" s="5">
        <f t="shared" si="40"/>
        <v>2777.7777777777778</v>
      </c>
      <c r="L293" s="5">
        <f t="shared" si="41"/>
        <v>992.47685185187663</v>
      </c>
      <c r="M293" s="5">
        <f>IF(E293&lt;=$B$3,$B$2-SUM($K$3:K293),0)</f>
        <v>191666.66666667152</v>
      </c>
      <c r="N293" s="2">
        <v>4.9000000000000004</v>
      </c>
      <c r="O293" s="1">
        <f t="shared" si="42"/>
        <v>6.125</v>
      </c>
      <c r="P293" s="1">
        <f t="shared" si="43"/>
        <v>5.1041666666666666E-3</v>
      </c>
      <c r="Q293" s="1">
        <f t="shared" si="44"/>
        <v>6.2515313091616163</v>
      </c>
    </row>
    <row r="294" spans="5:17" x14ac:dyDescent="0.2">
      <c r="E294" s="1">
        <v>292</v>
      </c>
      <c r="F294" s="4">
        <f t="shared" si="36"/>
        <v>6076.105395806896</v>
      </c>
      <c r="G294" s="4">
        <f t="shared" si="37"/>
        <v>4276.2317771184153</v>
      </c>
      <c r="H294" s="4">
        <f t="shared" si="38"/>
        <v>1799.8736186884807</v>
      </c>
      <c r="I294" s="4">
        <f>IF($B$2-SUM($G$3:G294)&lt; 0.001,0,$B$2-SUM($G$3:G294))</f>
        <v>348352.06902716192</v>
      </c>
      <c r="J294" s="5">
        <f t="shared" si="39"/>
        <v>3756.0763888888887</v>
      </c>
      <c r="K294" s="5">
        <f t="shared" si="40"/>
        <v>2777.7777777777778</v>
      </c>
      <c r="L294" s="5">
        <f t="shared" si="41"/>
        <v>978.29861111113598</v>
      </c>
      <c r="M294" s="5">
        <f>IF(E294&lt;=$B$3,$B$2-SUM($K$3:K294),0)</f>
        <v>188888.88888889377</v>
      </c>
      <c r="N294" s="2">
        <v>4.9000000000000004</v>
      </c>
      <c r="O294" s="1">
        <f t="shared" si="42"/>
        <v>6.125</v>
      </c>
      <c r="P294" s="1">
        <f t="shared" si="43"/>
        <v>5.1041666666666666E-3</v>
      </c>
      <c r="Q294" s="1">
        <f t="shared" si="44"/>
        <v>6.2515313091616163</v>
      </c>
    </row>
    <row r="295" spans="5:17" x14ac:dyDescent="0.2">
      <c r="E295" s="1">
        <v>293</v>
      </c>
      <c r="F295" s="4">
        <f t="shared" si="36"/>
        <v>6076.105395806896</v>
      </c>
      <c r="G295" s="4">
        <f t="shared" si="37"/>
        <v>4298.0583768141232</v>
      </c>
      <c r="H295" s="4">
        <f t="shared" si="38"/>
        <v>1778.0470189927726</v>
      </c>
      <c r="I295" s="4">
        <f>IF($B$2-SUM($G$3:G295)&lt; 0.001,0,$B$2-SUM($G$3:G295))</f>
        <v>344054.0106503478</v>
      </c>
      <c r="J295" s="5">
        <f t="shared" si="39"/>
        <v>3741.8981481481483</v>
      </c>
      <c r="K295" s="5">
        <f t="shared" si="40"/>
        <v>2777.7777777777778</v>
      </c>
      <c r="L295" s="5">
        <f t="shared" si="41"/>
        <v>964.12037037039534</v>
      </c>
      <c r="M295" s="5">
        <f>IF(E295&lt;=$B$3,$B$2-SUM($K$3:K295),0)</f>
        <v>186111.11111111601</v>
      </c>
      <c r="N295" s="2">
        <v>4.9000000000000004</v>
      </c>
      <c r="O295" s="1">
        <f t="shared" si="42"/>
        <v>6.125</v>
      </c>
      <c r="P295" s="1">
        <f t="shared" si="43"/>
        <v>5.1041666666666666E-3</v>
      </c>
      <c r="Q295" s="1">
        <f t="shared" si="44"/>
        <v>6.2515313091616163</v>
      </c>
    </row>
    <row r="296" spans="5:17" x14ac:dyDescent="0.2">
      <c r="E296" s="1">
        <v>294</v>
      </c>
      <c r="F296" s="4">
        <f t="shared" si="36"/>
        <v>6076.105395806896</v>
      </c>
      <c r="G296" s="4">
        <f t="shared" si="37"/>
        <v>4319.9963831124469</v>
      </c>
      <c r="H296" s="4">
        <f t="shared" si="38"/>
        <v>1756.1090126944496</v>
      </c>
      <c r="I296" s="4">
        <f>IF($B$2-SUM($G$3:G296)&lt; 0.001,0,$B$2-SUM($G$3:G296))</f>
        <v>339734.01426723541</v>
      </c>
      <c r="J296" s="5">
        <f t="shared" si="39"/>
        <v>3727.7199074074074</v>
      </c>
      <c r="K296" s="5">
        <f t="shared" si="40"/>
        <v>2777.7777777777778</v>
      </c>
      <c r="L296" s="5">
        <f t="shared" si="41"/>
        <v>949.9421296296548</v>
      </c>
      <c r="M296" s="5">
        <f>IF(E296&lt;=$B$3,$B$2-SUM($K$3:K296),0)</f>
        <v>183333.33333333826</v>
      </c>
      <c r="N296" s="2">
        <v>4.9000000000000004</v>
      </c>
      <c r="O296" s="1">
        <f t="shared" si="42"/>
        <v>6.125</v>
      </c>
      <c r="P296" s="1">
        <f t="shared" si="43"/>
        <v>5.1041666666666666E-3</v>
      </c>
      <c r="Q296" s="1">
        <f t="shared" si="44"/>
        <v>6.2515313091616163</v>
      </c>
    </row>
    <row r="297" spans="5:17" x14ac:dyDescent="0.2">
      <c r="E297" s="1">
        <v>295</v>
      </c>
      <c r="F297" s="4">
        <f t="shared" si="36"/>
        <v>6076.105395806896</v>
      </c>
      <c r="G297" s="4">
        <f t="shared" si="37"/>
        <v>4342.0463646512499</v>
      </c>
      <c r="H297" s="4">
        <f t="shared" si="38"/>
        <v>1734.0590311556464</v>
      </c>
      <c r="I297" s="4">
        <f>IF($B$2-SUM($G$3:G297)&lt; 0.001,0,$B$2-SUM($G$3:G297))</f>
        <v>335391.96790258412</v>
      </c>
      <c r="J297" s="5">
        <f t="shared" si="39"/>
        <v>3713.541666666667</v>
      </c>
      <c r="K297" s="5">
        <f t="shared" si="40"/>
        <v>2777.7777777777778</v>
      </c>
      <c r="L297" s="5">
        <f t="shared" si="41"/>
        <v>935.76388888891415</v>
      </c>
      <c r="M297" s="5">
        <f>IF(E297&lt;=$B$3,$B$2-SUM($K$3:K297),0)</f>
        <v>180555.55555556051</v>
      </c>
      <c r="N297" s="2">
        <v>4.9000000000000004</v>
      </c>
      <c r="O297" s="1">
        <f t="shared" si="42"/>
        <v>6.125</v>
      </c>
      <c r="P297" s="1">
        <f t="shared" si="43"/>
        <v>5.1041666666666666E-3</v>
      </c>
      <c r="Q297" s="1">
        <f t="shared" si="44"/>
        <v>6.2515313091616163</v>
      </c>
    </row>
    <row r="298" spans="5:17" x14ac:dyDescent="0.2">
      <c r="E298" s="1">
        <v>296</v>
      </c>
      <c r="F298" s="4">
        <f t="shared" si="36"/>
        <v>6076.105395806896</v>
      </c>
      <c r="G298" s="4">
        <f t="shared" si="37"/>
        <v>4364.2088929708252</v>
      </c>
      <c r="H298" s="4">
        <f t="shared" si="38"/>
        <v>1711.8965028360715</v>
      </c>
      <c r="I298" s="4">
        <f>IF($B$2-SUM($G$3:G298)&lt; 0.001,0,$B$2-SUM($G$3:G298))</f>
        <v>331027.75900961331</v>
      </c>
      <c r="J298" s="5">
        <f t="shared" si="39"/>
        <v>3699.3634259259256</v>
      </c>
      <c r="K298" s="5">
        <f t="shared" si="40"/>
        <v>2777.7777777777778</v>
      </c>
      <c r="L298" s="5">
        <f t="shared" si="41"/>
        <v>921.58564814817362</v>
      </c>
      <c r="M298" s="5">
        <f>IF(E298&lt;=$B$3,$B$2-SUM($K$3:K298),0)</f>
        <v>177777.77777778276</v>
      </c>
      <c r="N298" s="2">
        <v>4.9000000000000004</v>
      </c>
      <c r="O298" s="1">
        <f t="shared" si="42"/>
        <v>6.125</v>
      </c>
      <c r="P298" s="1">
        <f t="shared" si="43"/>
        <v>5.1041666666666666E-3</v>
      </c>
      <c r="Q298" s="1">
        <f t="shared" si="44"/>
        <v>6.2515313091616163</v>
      </c>
    </row>
    <row r="299" spans="5:17" x14ac:dyDescent="0.2">
      <c r="E299" s="1">
        <v>297</v>
      </c>
      <c r="F299" s="4">
        <f t="shared" si="36"/>
        <v>6076.105395806896</v>
      </c>
      <c r="G299" s="4">
        <f t="shared" si="37"/>
        <v>4386.4845425286967</v>
      </c>
      <c r="H299" s="4">
        <f t="shared" si="38"/>
        <v>1689.6208532781995</v>
      </c>
      <c r="I299" s="4">
        <f>IF($B$2-SUM($G$3:G299)&lt; 0.001,0,$B$2-SUM($G$3:G299))</f>
        <v>326641.27446708456</v>
      </c>
      <c r="J299" s="5">
        <f t="shared" si="39"/>
        <v>3685.1851851851852</v>
      </c>
      <c r="K299" s="5">
        <f t="shared" si="40"/>
        <v>2777.7777777777778</v>
      </c>
      <c r="L299" s="5">
        <f t="shared" si="41"/>
        <v>907.40740740743297</v>
      </c>
      <c r="M299" s="5">
        <f>IF(E299&lt;=$B$3,$B$2-SUM($K$3:K299),0)</f>
        <v>175000.00000000501</v>
      </c>
      <c r="N299" s="2">
        <v>4.9000000000000004</v>
      </c>
      <c r="O299" s="1">
        <f t="shared" si="42"/>
        <v>6.125</v>
      </c>
      <c r="P299" s="1">
        <f t="shared" si="43"/>
        <v>5.1041666666666666E-3</v>
      </c>
      <c r="Q299" s="1">
        <f t="shared" si="44"/>
        <v>6.2515313091616163</v>
      </c>
    </row>
    <row r="300" spans="5:17" x14ac:dyDescent="0.2">
      <c r="E300" s="1">
        <v>298</v>
      </c>
      <c r="F300" s="4">
        <f t="shared" si="36"/>
        <v>6076.105395806896</v>
      </c>
      <c r="G300" s="4">
        <f t="shared" si="37"/>
        <v>4408.8738907145216</v>
      </c>
      <c r="H300" s="4">
        <f t="shared" si="38"/>
        <v>1667.2315050923755</v>
      </c>
      <c r="I300" s="4">
        <f>IF($B$2-SUM($G$3:G300)&lt; 0.001,0,$B$2-SUM($G$3:G300))</f>
        <v>322232.40057637007</v>
      </c>
      <c r="J300" s="5">
        <f t="shared" si="39"/>
        <v>3671.0069444444443</v>
      </c>
      <c r="K300" s="5">
        <f t="shared" si="40"/>
        <v>2777.7777777777778</v>
      </c>
      <c r="L300" s="5">
        <f t="shared" si="41"/>
        <v>893.22916666669232</v>
      </c>
      <c r="M300" s="5">
        <f>IF(E300&lt;=$B$3,$B$2-SUM($K$3:K300),0)</f>
        <v>172222.22222222725</v>
      </c>
      <c r="N300" s="2">
        <v>4.9000000000000004</v>
      </c>
      <c r="O300" s="1">
        <f t="shared" si="42"/>
        <v>6.125</v>
      </c>
      <c r="P300" s="1">
        <f t="shared" si="43"/>
        <v>5.1041666666666666E-3</v>
      </c>
      <c r="Q300" s="1">
        <f t="shared" si="44"/>
        <v>6.2515313091616163</v>
      </c>
    </row>
    <row r="301" spans="5:17" x14ac:dyDescent="0.2">
      <c r="E301" s="1">
        <v>299</v>
      </c>
      <c r="F301" s="4">
        <f t="shared" si="36"/>
        <v>6076.105395806896</v>
      </c>
      <c r="G301" s="4">
        <f t="shared" si="37"/>
        <v>4431.3775178650421</v>
      </c>
      <c r="H301" s="4">
        <f t="shared" si="38"/>
        <v>1644.7278779418543</v>
      </c>
      <c r="I301" s="4">
        <f>IF($B$2-SUM($G$3:G301)&lt; 0.001,0,$B$2-SUM($G$3:G301))</f>
        <v>317801.02305850503</v>
      </c>
      <c r="J301" s="5">
        <f t="shared" si="39"/>
        <v>3656.8287037037039</v>
      </c>
      <c r="K301" s="5">
        <f t="shared" si="40"/>
        <v>2777.7777777777778</v>
      </c>
      <c r="L301" s="5">
        <f t="shared" si="41"/>
        <v>879.05092592595179</v>
      </c>
      <c r="M301" s="5">
        <f>IF(E301&lt;=$B$3,$B$2-SUM($K$3:K301),0)</f>
        <v>169444.4444444495</v>
      </c>
      <c r="N301" s="2">
        <v>4.9000000000000004</v>
      </c>
      <c r="O301" s="1">
        <f t="shared" si="42"/>
        <v>6.125</v>
      </c>
      <c r="P301" s="1">
        <f t="shared" si="43"/>
        <v>5.1041666666666666E-3</v>
      </c>
      <c r="Q301" s="1">
        <f t="shared" si="44"/>
        <v>6.2515313091616163</v>
      </c>
    </row>
    <row r="302" spans="5:17" x14ac:dyDescent="0.2">
      <c r="E302" s="1">
        <v>300</v>
      </c>
      <c r="F302" s="4">
        <f t="shared" si="36"/>
        <v>6076.105395806896</v>
      </c>
      <c r="G302" s="4">
        <f t="shared" si="37"/>
        <v>4453.9960072791464</v>
      </c>
      <c r="H302" s="4">
        <f t="shared" si="38"/>
        <v>1622.1093885277501</v>
      </c>
      <c r="I302" s="4">
        <f>IF($B$2-SUM($G$3:G302)&lt; 0.001,0,$B$2-SUM($G$3:G302))</f>
        <v>313347.02705122589</v>
      </c>
      <c r="J302" s="5">
        <f t="shared" si="39"/>
        <v>3642.6504629629626</v>
      </c>
      <c r="K302" s="5">
        <f t="shared" si="40"/>
        <v>2777.7777777777778</v>
      </c>
      <c r="L302" s="5">
        <f t="shared" si="41"/>
        <v>864.87268518521114</v>
      </c>
      <c r="M302" s="5">
        <f>IF(E302&lt;=$B$3,$B$2-SUM($K$3:K302),0)</f>
        <v>166666.66666667175</v>
      </c>
      <c r="N302" s="2">
        <v>4.9000000000000004</v>
      </c>
      <c r="O302" s="1">
        <f t="shared" si="42"/>
        <v>6.125</v>
      </c>
      <c r="P302" s="1">
        <f t="shared" si="43"/>
        <v>5.1041666666666666E-3</v>
      </c>
      <c r="Q302" s="1">
        <f t="shared" si="44"/>
        <v>6.2515313091616163</v>
      </c>
    </row>
    <row r="303" spans="5:17" x14ac:dyDescent="0.2">
      <c r="E303" s="1">
        <v>301</v>
      </c>
      <c r="F303" s="4">
        <f t="shared" si="36"/>
        <v>6076.105395806896</v>
      </c>
      <c r="G303" s="4">
        <f t="shared" si="37"/>
        <v>4476.7299452329662</v>
      </c>
      <c r="H303" s="4">
        <f t="shared" si="38"/>
        <v>1599.3754505739303</v>
      </c>
      <c r="I303" s="4">
        <f>IF($B$2-SUM($G$3:G303)&lt; 0.001,0,$B$2-SUM($G$3:G303))</f>
        <v>308870.29710599291</v>
      </c>
      <c r="J303" s="5">
        <f t="shared" si="39"/>
        <v>3628.4722222222222</v>
      </c>
      <c r="K303" s="5">
        <f t="shared" si="40"/>
        <v>2777.7777777777778</v>
      </c>
      <c r="L303" s="5">
        <f t="shared" si="41"/>
        <v>850.69444444447049</v>
      </c>
      <c r="M303" s="5">
        <f>IF(E303&lt;=$B$3,$B$2-SUM($K$3:K303),0)</f>
        <v>163888.888888894</v>
      </c>
      <c r="N303" s="2">
        <v>4.9000000000000004</v>
      </c>
      <c r="O303" s="1">
        <f t="shared" si="42"/>
        <v>6.125</v>
      </c>
      <c r="P303" s="1">
        <f t="shared" si="43"/>
        <v>5.1041666666666666E-3</v>
      </c>
      <c r="Q303" s="1">
        <f t="shared" si="44"/>
        <v>6.2515313091616163</v>
      </c>
    </row>
    <row r="304" spans="5:17" x14ac:dyDescent="0.2">
      <c r="E304" s="1">
        <v>302</v>
      </c>
      <c r="F304" s="4">
        <f t="shared" si="36"/>
        <v>6076.105395806896</v>
      </c>
      <c r="G304" s="4">
        <f t="shared" si="37"/>
        <v>4499.5799209950928</v>
      </c>
      <c r="H304" s="4">
        <f t="shared" si="38"/>
        <v>1576.5254748118036</v>
      </c>
      <c r="I304" s="4">
        <f>IF($B$2-SUM($G$3:G304)&lt; 0.001,0,$B$2-SUM($G$3:G304))</f>
        <v>304370.71718499786</v>
      </c>
      <c r="J304" s="5">
        <f t="shared" si="39"/>
        <v>3614.2939814814813</v>
      </c>
      <c r="K304" s="5">
        <f t="shared" si="40"/>
        <v>2777.7777777777778</v>
      </c>
      <c r="L304" s="5">
        <f t="shared" si="41"/>
        <v>836.51620370372996</v>
      </c>
      <c r="M304" s="5">
        <f>IF(E304&lt;=$B$3,$B$2-SUM($K$3:K304),0)</f>
        <v>161111.11111111625</v>
      </c>
      <c r="N304" s="2">
        <v>4.9000000000000004</v>
      </c>
      <c r="O304" s="1">
        <f t="shared" si="42"/>
        <v>6.125</v>
      </c>
      <c r="P304" s="1">
        <f t="shared" si="43"/>
        <v>5.1041666666666666E-3</v>
      </c>
      <c r="Q304" s="1">
        <f t="shared" si="44"/>
        <v>6.2515313091616163</v>
      </c>
    </row>
    <row r="305" spans="5:17" x14ac:dyDescent="0.2">
      <c r="E305" s="1">
        <v>303</v>
      </c>
      <c r="F305" s="4">
        <f t="shared" si="36"/>
        <v>6076.105395806896</v>
      </c>
      <c r="G305" s="4">
        <f t="shared" si="37"/>
        <v>4522.5465268418393</v>
      </c>
      <c r="H305" s="4">
        <f t="shared" si="38"/>
        <v>1553.5588689650567</v>
      </c>
      <c r="I305" s="4">
        <f>IF($B$2-SUM($G$3:G305)&lt; 0.001,0,$B$2-SUM($G$3:G305))</f>
        <v>299848.17065815604</v>
      </c>
      <c r="J305" s="5">
        <f t="shared" si="39"/>
        <v>3600.1157407407409</v>
      </c>
      <c r="K305" s="5">
        <f t="shared" si="40"/>
        <v>2777.7777777777778</v>
      </c>
      <c r="L305" s="5">
        <f t="shared" si="41"/>
        <v>822.33796296298931</v>
      </c>
      <c r="M305" s="5">
        <f>IF(E305&lt;=$B$3,$B$2-SUM($K$3:K305),0)</f>
        <v>158333.33333333849</v>
      </c>
      <c r="N305" s="2">
        <v>4.9000000000000004</v>
      </c>
      <c r="O305" s="1">
        <f t="shared" si="42"/>
        <v>6.125</v>
      </c>
      <c r="P305" s="1">
        <f t="shared" si="43"/>
        <v>5.1041666666666666E-3</v>
      </c>
      <c r="Q305" s="1">
        <f t="shared" si="44"/>
        <v>6.2515313091616163</v>
      </c>
    </row>
    <row r="306" spans="5:17" x14ac:dyDescent="0.2">
      <c r="E306" s="1">
        <v>304</v>
      </c>
      <c r="F306" s="4">
        <f t="shared" si="36"/>
        <v>6076.105395806896</v>
      </c>
      <c r="G306" s="4">
        <f t="shared" si="37"/>
        <v>4545.6303580725953</v>
      </c>
      <c r="H306" s="4">
        <f t="shared" si="38"/>
        <v>1530.4750377343012</v>
      </c>
      <c r="I306" s="4">
        <f>IF($B$2-SUM($G$3:G306)&lt; 0.001,0,$B$2-SUM($G$3:G306))</f>
        <v>295302.54030008346</v>
      </c>
      <c r="J306" s="5">
        <f t="shared" si="39"/>
        <v>3585.9375</v>
      </c>
      <c r="K306" s="5">
        <f t="shared" si="40"/>
        <v>2777.7777777777778</v>
      </c>
      <c r="L306" s="5">
        <f t="shared" si="41"/>
        <v>808.15972222224866</v>
      </c>
      <c r="M306" s="5">
        <f>IF(E306&lt;=$B$3,$B$2-SUM($K$3:K306),0)</f>
        <v>155555.55555556074</v>
      </c>
      <c r="N306" s="2">
        <v>4.9000000000000004</v>
      </c>
      <c r="O306" s="1">
        <f t="shared" si="42"/>
        <v>6.125</v>
      </c>
      <c r="P306" s="1">
        <f t="shared" si="43"/>
        <v>5.1041666666666666E-3</v>
      </c>
      <c r="Q306" s="1">
        <f t="shared" si="44"/>
        <v>6.2515313091616163</v>
      </c>
    </row>
    <row r="307" spans="5:17" x14ac:dyDescent="0.2">
      <c r="E307" s="1">
        <v>305</v>
      </c>
      <c r="F307" s="4">
        <f t="shared" si="36"/>
        <v>6076.105395806896</v>
      </c>
      <c r="G307" s="4">
        <f t="shared" si="37"/>
        <v>4568.8320130252569</v>
      </c>
      <c r="H307" s="4">
        <f t="shared" si="38"/>
        <v>1507.2733827816389</v>
      </c>
      <c r="I307" s="4">
        <f>IF($B$2-SUM($G$3:G307)&lt; 0.001,0,$B$2-SUM($G$3:G307))</f>
        <v>290733.70828705817</v>
      </c>
      <c r="J307" s="5">
        <f t="shared" si="39"/>
        <v>3571.7592592592591</v>
      </c>
      <c r="K307" s="5">
        <f t="shared" si="40"/>
        <v>2777.7777777777778</v>
      </c>
      <c r="L307" s="5">
        <f t="shared" si="41"/>
        <v>793.98148148150813</v>
      </c>
      <c r="M307" s="5">
        <f>IF(E307&lt;=$B$3,$B$2-SUM($K$3:K307),0)</f>
        <v>152777.77777778299</v>
      </c>
      <c r="N307" s="2">
        <v>4.9000000000000004</v>
      </c>
      <c r="O307" s="1">
        <f t="shared" si="42"/>
        <v>6.125</v>
      </c>
      <c r="P307" s="1">
        <f t="shared" si="43"/>
        <v>5.1041666666666666E-3</v>
      </c>
      <c r="Q307" s="1">
        <f t="shared" si="44"/>
        <v>6.2515313091616163</v>
      </c>
    </row>
    <row r="308" spans="5:17" x14ac:dyDescent="0.2">
      <c r="E308" s="1">
        <v>306</v>
      </c>
      <c r="F308" s="4">
        <f t="shared" si="36"/>
        <v>6076.105395806896</v>
      </c>
      <c r="G308" s="4">
        <f t="shared" si="37"/>
        <v>4592.1520930917395</v>
      </c>
      <c r="H308" s="4">
        <f t="shared" si="38"/>
        <v>1483.9533027151563</v>
      </c>
      <c r="I308" s="4">
        <f>IF($B$2-SUM($G$3:G308)&lt; 0.001,0,$B$2-SUM($G$3:G308))</f>
        <v>286141.55619396642</v>
      </c>
      <c r="J308" s="5">
        <f t="shared" si="39"/>
        <v>3557.5810185185182</v>
      </c>
      <c r="K308" s="5">
        <f t="shared" si="40"/>
        <v>2777.7777777777778</v>
      </c>
      <c r="L308" s="5">
        <f t="shared" si="41"/>
        <v>779.80324074076748</v>
      </c>
      <c r="M308" s="5">
        <f>IF(E308&lt;=$B$3,$B$2-SUM($K$3:K308),0)</f>
        <v>150000.00000000524</v>
      </c>
      <c r="N308" s="2">
        <v>4.9000000000000004</v>
      </c>
      <c r="O308" s="1">
        <f t="shared" si="42"/>
        <v>6.125</v>
      </c>
      <c r="P308" s="1">
        <f t="shared" si="43"/>
        <v>5.1041666666666666E-3</v>
      </c>
      <c r="Q308" s="1">
        <f t="shared" si="44"/>
        <v>6.2515313091616163</v>
      </c>
    </row>
    <row r="309" spans="5:17" x14ac:dyDescent="0.2">
      <c r="E309" s="1">
        <v>307</v>
      </c>
      <c r="F309" s="4">
        <f t="shared" si="36"/>
        <v>6076.105395806896</v>
      </c>
      <c r="G309" s="4">
        <f t="shared" si="37"/>
        <v>4615.5912027335626</v>
      </c>
      <c r="H309" s="4">
        <f t="shared" si="38"/>
        <v>1460.5141930733334</v>
      </c>
      <c r="I309" s="4">
        <f>IF($B$2-SUM($G$3:G309)&lt; 0.001,0,$B$2-SUM($G$3:G309))</f>
        <v>281525.96499123285</v>
      </c>
      <c r="J309" s="5">
        <f t="shared" si="39"/>
        <v>3543.4027777777778</v>
      </c>
      <c r="K309" s="5">
        <f t="shared" si="40"/>
        <v>2777.7777777777778</v>
      </c>
      <c r="L309" s="5">
        <f t="shared" si="41"/>
        <v>765.62500000002683</v>
      </c>
      <c r="M309" s="5">
        <f>IF(E309&lt;=$B$3,$B$2-SUM($K$3:K309),0)</f>
        <v>147222.22222222749</v>
      </c>
      <c r="N309" s="2">
        <v>4.9000000000000004</v>
      </c>
      <c r="O309" s="1">
        <f t="shared" si="42"/>
        <v>6.125</v>
      </c>
      <c r="P309" s="1">
        <f t="shared" si="43"/>
        <v>5.1041666666666666E-3</v>
      </c>
      <c r="Q309" s="1">
        <f t="shared" si="44"/>
        <v>6.2515313091616163</v>
      </c>
    </row>
    <row r="310" spans="5:17" x14ac:dyDescent="0.2">
      <c r="E310" s="1">
        <v>308</v>
      </c>
      <c r="F310" s="4">
        <f t="shared" si="36"/>
        <v>6076.105395806896</v>
      </c>
      <c r="G310" s="4">
        <f t="shared" si="37"/>
        <v>4639.1499494975151</v>
      </c>
      <c r="H310" s="4">
        <f t="shared" si="38"/>
        <v>1436.9554463093809</v>
      </c>
      <c r="I310" s="4">
        <f>IF($B$2-SUM($G$3:G310)&lt; 0.001,0,$B$2-SUM($G$3:G310))</f>
        <v>276886.8150417353</v>
      </c>
      <c r="J310" s="5">
        <f t="shared" si="39"/>
        <v>3529.2245370370374</v>
      </c>
      <c r="K310" s="5">
        <f t="shared" si="40"/>
        <v>2777.7777777777778</v>
      </c>
      <c r="L310" s="5">
        <f t="shared" si="41"/>
        <v>751.4467592592863</v>
      </c>
      <c r="M310" s="5">
        <f>IF(E310&lt;=$B$3,$B$2-SUM($K$3:K310),0)</f>
        <v>144444.44444444973</v>
      </c>
      <c r="N310" s="2">
        <v>4.9000000000000004</v>
      </c>
      <c r="O310" s="1">
        <f t="shared" si="42"/>
        <v>6.125</v>
      </c>
      <c r="P310" s="1">
        <f t="shared" si="43"/>
        <v>5.1041666666666666E-3</v>
      </c>
      <c r="Q310" s="1">
        <f t="shared" si="44"/>
        <v>6.2515313091616163</v>
      </c>
    </row>
    <row r="311" spans="5:17" x14ac:dyDescent="0.2">
      <c r="E311" s="1">
        <v>309</v>
      </c>
      <c r="F311" s="4">
        <f t="shared" si="36"/>
        <v>6076.105395806896</v>
      </c>
      <c r="G311" s="4">
        <f t="shared" si="37"/>
        <v>4662.8289440314102</v>
      </c>
      <c r="H311" s="4">
        <f t="shared" si="38"/>
        <v>1413.2764517754867</v>
      </c>
      <c r="I311" s="4">
        <f>IF($B$2-SUM($G$3:G311)&lt; 0.001,0,$B$2-SUM($G$3:G311))</f>
        <v>272223.98609770392</v>
      </c>
      <c r="J311" s="5">
        <f t="shared" si="39"/>
        <v>3515.0462962962961</v>
      </c>
      <c r="K311" s="5">
        <f t="shared" si="40"/>
        <v>2777.7777777777778</v>
      </c>
      <c r="L311" s="5">
        <f t="shared" si="41"/>
        <v>737.26851851854565</v>
      </c>
      <c r="M311" s="5">
        <f>IF(E311&lt;=$B$3,$B$2-SUM($K$3:K311),0)</f>
        <v>141666.66666667198</v>
      </c>
      <c r="N311" s="2">
        <v>4.9000000000000004</v>
      </c>
      <c r="O311" s="1">
        <f t="shared" si="42"/>
        <v>6.125</v>
      </c>
      <c r="P311" s="1">
        <f t="shared" si="43"/>
        <v>5.1041666666666666E-3</v>
      </c>
      <c r="Q311" s="1">
        <f t="shared" si="44"/>
        <v>6.2515313091616163</v>
      </c>
    </row>
    <row r="312" spans="5:17" x14ac:dyDescent="0.2">
      <c r="E312" s="1">
        <v>310</v>
      </c>
      <c r="F312" s="4">
        <f t="shared" si="36"/>
        <v>6076.105395806896</v>
      </c>
      <c r="G312" s="4">
        <f t="shared" si="37"/>
        <v>4686.6288000999039</v>
      </c>
      <c r="H312" s="4">
        <f t="shared" si="38"/>
        <v>1389.4765957069928</v>
      </c>
      <c r="I312" s="4">
        <f>IF($B$2-SUM($G$3:G312)&lt; 0.001,0,$B$2-SUM($G$3:G312))</f>
        <v>267537.35729760397</v>
      </c>
      <c r="J312" s="5">
        <f t="shared" si="39"/>
        <v>3500.8680555555557</v>
      </c>
      <c r="K312" s="5">
        <f t="shared" si="40"/>
        <v>2777.7777777777778</v>
      </c>
      <c r="L312" s="5">
        <f t="shared" si="41"/>
        <v>723.090277777805</v>
      </c>
      <c r="M312" s="5">
        <f>IF(E312&lt;=$B$3,$B$2-SUM($K$3:K312),0)</f>
        <v>138888.88888889423</v>
      </c>
      <c r="N312" s="2">
        <v>4.9000000000000004</v>
      </c>
      <c r="O312" s="1">
        <f t="shared" si="42"/>
        <v>6.125</v>
      </c>
      <c r="P312" s="1">
        <f t="shared" si="43"/>
        <v>5.1041666666666666E-3</v>
      </c>
      <c r="Q312" s="1">
        <f t="shared" si="44"/>
        <v>6.2515313091616163</v>
      </c>
    </row>
    <row r="313" spans="5:17" x14ac:dyDescent="0.2">
      <c r="E313" s="1">
        <v>311</v>
      </c>
      <c r="F313" s="4">
        <f t="shared" si="36"/>
        <v>6076.105395806896</v>
      </c>
      <c r="G313" s="4">
        <f t="shared" si="37"/>
        <v>4710.5501346004139</v>
      </c>
      <c r="H313" s="4">
        <f t="shared" si="38"/>
        <v>1365.5552612064821</v>
      </c>
      <c r="I313" s="4">
        <f>IF($B$2-SUM($G$3:G313)&lt; 0.001,0,$B$2-SUM($G$3:G313))</f>
        <v>262826.8071630036</v>
      </c>
      <c r="J313" s="5">
        <f t="shared" si="39"/>
        <v>3486.6898148148148</v>
      </c>
      <c r="K313" s="5">
        <f t="shared" si="40"/>
        <v>2777.7777777777778</v>
      </c>
      <c r="L313" s="5">
        <f t="shared" si="41"/>
        <v>708.91203703706447</v>
      </c>
      <c r="M313" s="5">
        <f>IF(E313&lt;=$B$3,$B$2-SUM($K$3:K313),0)</f>
        <v>136111.11111111648</v>
      </c>
      <c r="N313" s="2">
        <v>4.9000000000000004</v>
      </c>
      <c r="O313" s="1">
        <f t="shared" si="42"/>
        <v>6.125</v>
      </c>
      <c r="P313" s="1">
        <f t="shared" si="43"/>
        <v>5.1041666666666666E-3</v>
      </c>
      <c r="Q313" s="1">
        <f t="shared" si="44"/>
        <v>6.2515313091616163</v>
      </c>
    </row>
    <row r="314" spans="5:17" x14ac:dyDescent="0.2">
      <c r="E314" s="1">
        <v>312</v>
      </c>
      <c r="F314" s="4">
        <f t="shared" si="36"/>
        <v>6076.105395806896</v>
      </c>
      <c r="G314" s="4">
        <f t="shared" si="37"/>
        <v>4734.5935675791043</v>
      </c>
      <c r="H314" s="4">
        <f t="shared" si="38"/>
        <v>1341.5118282277924</v>
      </c>
      <c r="I314" s="4">
        <f>IF($B$2-SUM($G$3:G314)&lt; 0.001,0,$B$2-SUM($G$3:G314))</f>
        <v>258092.21359542455</v>
      </c>
      <c r="J314" s="5">
        <f t="shared" si="39"/>
        <v>3472.5115740740739</v>
      </c>
      <c r="K314" s="5">
        <f t="shared" si="40"/>
        <v>2777.7777777777778</v>
      </c>
      <c r="L314" s="5">
        <f t="shared" si="41"/>
        <v>694.73379629632382</v>
      </c>
      <c r="M314" s="5">
        <f>IF(E314&lt;=$B$3,$B$2-SUM($K$3:K314),0)</f>
        <v>133333.33333333873</v>
      </c>
      <c r="N314" s="2">
        <v>4.9000000000000004</v>
      </c>
      <c r="O314" s="1">
        <f t="shared" si="42"/>
        <v>6.125</v>
      </c>
      <c r="P314" s="1">
        <f t="shared" si="43"/>
        <v>5.1041666666666666E-3</v>
      </c>
      <c r="Q314" s="1">
        <f t="shared" si="44"/>
        <v>6.2515313091616163</v>
      </c>
    </row>
    <row r="315" spans="5:17" x14ac:dyDescent="0.2">
      <c r="E315" s="1">
        <v>313</v>
      </c>
      <c r="F315" s="4">
        <f t="shared" si="36"/>
        <v>6076.105395806896</v>
      </c>
      <c r="G315" s="4">
        <f t="shared" si="37"/>
        <v>4758.7597222469558</v>
      </c>
      <c r="H315" s="4">
        <f t="shared" si="38"/>
        <v>1317.3456735599409</v>
      </c>
      <c r="I315" s="4">
        <f>IF($B$2-SUM($G$3:G315)&lt; 0.001,0,$B$2-SUM($G$3:G315))</f>
        <v>253333.45387317764</v>
      </c>
      <c r="J315" s="5">
        <f t="shared" si="39"/>
        <v>3458.3333333333335</v>
      </c>
      <c r="K315" s="5">
        <f t="shared" si="40"/>
        <v>2777.7777777777778</v>
      </c>
      <c r="L315" s="5">
        <f t="shared" si="41"/>
        <v>680.55555555558317</v>
      </c>
      <c r="M315" s="5">
        <f>IF(E315&lt;=$B$3,$B$2-SUM($K$3:K315),0)</f>
        <v>130555.55555556098</v>
      </c>
      <c r="N315" s="2">
        <v>4.9000000000000004</v>
      </c>
      <c r="O315" s="1">
        <f t="shared" si="42"/>
        <v>6.125</v>
      </c>
      <c r="P315" s="1">
        <f t="shared" si="43"/>
        <v>5.1041666666666666E-3</v>
      </c>
      <c r="Q315" s="1">
        <f t="shared" si="44"/>
        <v>6.2515313091616163</v>
      </c>
    </row>
    <row r="316" spans="5:17" x14ac:dyDescent="0.2">
      <c r="E316" s="1">
        <v>314</v>
      </c>
      <c r="F316" s="4">
        <f t="shared" si="36"/>
        <v>6076.105395806896</v>
      </c>
      <c r="G316" s="4">
        <f t="shared" si="37"/>
        <v>4783.0492249959252</v>
      </c>
      <c r="H316" s="4">
        <f t="shared" si="38"/>
        <v>1293.0561708109715</v>
      </c>
      <c r="I316" s="4">
        <f>IF($B$2-SUM($G$3:G316)&lt; 0.001,0,$B$2-SUM($G$3:G316))</f>
        <v>248550.40464818175</v>
      </c>
      <c r="J316" s="5">
        <f t="shared" si="39"/>
        <v>3444.1550925925922</v>
      </c>
      <c r="K316" s="5">
        <f t="shared" si="40"/>
        <v>2777.7777777777778</v>
      </c>
      <c r="L316" s="5">
        <f t="shared" si="41"/>
        <v>666.37731481484263</v>
      </c>
      <c r="M316" s="5">
        <f>IF(E316&lt;=$B$3,$B$2-SUM($K$3:K316),0)</f>
        <v>127777.77777778322</v>
      </c>
      <c r="N316" s="2">
        <v>4.9000000000000004</v>
      </c>
      <c r="O316" s="1">
        <f t="shared" si="42"/>
        <v>6.125</v>
      </c>
      <c r="P316" s="1">
        <f t="shared" si="43"/>
        <v>5.1041666666666666E-3</v>
      </c>
      <c r="Q316" s="1">
        <f t="shared" si="44"/>
        <v>6.2515313091616163</v>
      </c>
    </row>
    <row r="317" spans="5:17" x14ac:dyDescent="0.2">
      <c r="E317" s="1">
        <v>315</v>
      </c>
      <c r="F317" s="4">
        <f t="shared" si="36"/>
        <v>6076.105395806896</v>
      </c>
      <c r="G317" s="4">
        <f t="shared" si="37"/>
        <v>4807.4627054151742</v>
      </c>
      <c r="H317" s="4">
        <f t="shared" si="38"/>
        <v>1268.642690391722</v>
      </c>
      <c r="I317" s="4">
        <f>IF($B$2-SUM($G$3:G317)&lt; 0.001,0,$B$2-SUM($G$3:G317))</f>
        <v>243742.94194276654</v>
      </c>
      <c r="J317" s="5">
        <f t="shared" si="39"/>
        <v>3429.9768518518517</v>
      </c>
      <c r="K317" s="5">
        <f t="shared" si="40"/>
        <v>2777.7777777777778</v>
      </c>
      <c r="L317" s="5">
        <f t="shared" si="41"/>
        <v>652.19907407410199</v>
      </c>
      <c r="M317" s="5">
        <f>IF(E317&lt;=$B$3,$B$2-SUM($K$3:K317),0)</f>
        <v>125000.00000000547</v>
      </c>
      <c r="N317" s="2">
        <v>4.9000000000000004</v>
      </c>
      <c r="O317" s="1">
        <f t="shared" si="42"/>
        <v>6.125</v>
      </c>
      <c r="P317" s="1">
        <f t="shared" si="43"/>
        <v>5.1041666666666666E-3</v>
      </c>
      <c r="Q317" s="1">
        <f t="shared" si="44"/>
        <v>6.2515313091616163</v>
      </c>
    </row>
    <row r="318" spans="5:17" x14ac:dyDescent="0.2">
      <c r="E318" s="1">
        <v>316</v>
      </c>
      <c r="F318" s="4">
        <f t="shared" si="36"/>
        <v>6076.105395806896</v>
      </c>
      <c r="G318" s="4">
        <f t="shared" si="37"/>
        <v>4832.0007963073995</v>
      </c>
      <c r="H318" s="4">
        <f t="shared" si="38"/>
        <v>1244.104599499497</v>
      </c>
      <c r="I318" s="4">
        <f>IF($B$2-SUM($G$3:G318)&lt; 0.001,0,$B$2-SUM($G$3:G318))</f>
        <v>238910.9411464592</v>
      </c>
      <c r="J318" s="5">
        <f t="shared" si="39"/>
        <v>3415.7986111111113</v>
      </c>
      <c r="K318" s="5">
        <f t="shared" si="40"/>
        <v>2777.7777777777778</v>
      </c>
      <c r="L318" s="5">
        <f t="shared" si="41"/>
        <v>638.02083333336145</v>
      </c>
      <c r="M318" s="5">
        <f>IF(E318&lt;=$B$3,$B$2-SUM($K$3:K318),0)</f>
        <v>122222.22222222772</v>
      </c>
      <c r="N318" s="2">
        <v>4.9000000000000004</v>
      </c>
      <c r="O318" s="1">
        <f t="shared" si="42"/>
        <v>6.125</v>
      </c>
      <c r="P318" s="1">
        <f t="shared" si="43"/>
        <v>5.1041666666666666E-3</v>
      </c>
      <c r="Q318" s="1">
        <f t="shared" si="44"/>
        <v>6.2515313091616163</v>
      </c>
    </row>
    <row r="319" spans="5:17" x14ac:dyDescent="0.2">
      <c r="E319" s="1">
        <v>317</v>
      </c>
      <c r="F319" s="4">
        <f t="shared" si="36"/>
        <v>6076.105395806896</v>
      </c>
      <c r="G319" s="4">
        <f t="shared" si="37"/>
        <v>4856.6641337052179</v>
      </c>
      <c r="H319" s="4">
        <f t="shared" si="38"/>
        <v>1219.4412621016788</v>
      </c>
      <c r="I319" s="4">
        <f>IF($B$2-SUM($G$3:G319)&lt; 0.001,0,$B$2-SUM($G$3:G319))</f>
        <v>234054.277012754</v>
      </c>
      <c r="J319" s="5">
        <f t="shared" si="39"/>
        <v>3401.6203703703704</v>
      </c>
      <c r="K319" s="5">
        <f t="shared" si="40"/>
        <v>2777.7777777777778</v>
      </c>
      <c r="L319" s="5">
        <f t="shared" si="41"/>
        <v>623.8425925926208</v>
      </c>
      <c r="M319" s="5">
        <f>IF(E319&lt;=$B$3,$B$2-SUM($K$3:K319),0)</f>
        <v>119444.44444444997</v>
      </c>
      <c r="N319" s="2">
        <v>4.9000000000000004</v>
      </c>
      <c r="O319" s="1">
        <f t="shared" si="42"/>
        <v>6.125</v>
      </c>
      <c r="P319" s="1">
        <f t="shared" si="43"/>
        <v>5.1041666666666666E-3</v>
      </c>
      <c r="Q319" s="1">
        <f t="shared" si="44"/>
        <v>6.2515313091616163</v>
      </c>
    </row>
    <row r="320" spans="5:17" x14ac:dyDescent="0.2">
      <c r="E320" s="1">
        <v>318</v>
      </c>
      <c r="F320" s="4">
        <f t="shared" si="36"/>
        <v>6076.105395806896</v>
      </c>
      <c r="G320" s="4">
        <f t="shared" si="37"/>
        <v>4881.4533568876723</v>
      </c>
      <c r="H320" s="4">
        <f t="shared" si="38"/>
        <v>1194.6520389192247</v>
      </c>
      <c r="I320" s="4">
        <f>IF($B$2-SUM($G$3:G320)&lt; 0.001,0,$B$2-SUM($G$3:G320))</f>
        <v>229172.82365586632</v>
      </c>
      <c r="J320" s="5">
        <f t="shared" si="39"/>
        <v>3387.4421296296296</v>
      </c>
      <c r="K320" s="5">
        <f t="shared" si="40"/>
        <v>2777.7777777777778</v>
      </c>
      <c r="L320" s="5">
        <f t="shared" si="41"/>
        <v>609.66435185188016</v>
      </c>
      <c r="M320" s="5">
        <f>IF(E320&lt;=$B$3,$B$2-SUM($K$3:K320),0)</f>
        <v>116666.66666667222</v>
      </c>
      <c r="N320" s="2">
        <v>4.9000000000000004</v>
      </c>
      <c r="O320" s="1">
        <f t="shared" si="42"/>
        <v>6.125</v>
      </c>
      <c r="P320" s="1">
        <f t="shared" si="43"/>
        <v>5.1041666666666666E-3</v>
      </c>
      <c r="Q320" s="1">
        <f t="shared" si="44"/>
        <v>6.2515313091616163</v>
      </c>
    </row>
    <row r="321" spans="5:17" x14ac:dyDescent="0.2">
      <c r="E321" s="1">
        <v>319</v>
      </c>
      <c r="F321" s="4">
        <f t="shared" si="36"/>
        <v>6076.105395806896</v>
      </c>
      <c r="G321" s="4">
        <f t="shared" si="37"/>
        <v>4906.3691083967869</v>
      </c>
      <c r="H321" s="4">
        <f t="shared" si="38"/>
        <v>1169.7362874101098</v>
      </c>
      <c r="I321" s="4">
        <f>IF($B$2-SUM($G$3:G321)&lt; 0.001,0,$B$2-SUM($G$3:G321))</f>
        <v>224266.4545474695</v>
      </c>
      <c r="J321" s="5">
        <f t="shared" si="39"/>
        <v>3373.2638888888887</v>
      </c>
      <c r="K321" s="5">
        <f t="shared" si="40"/>
        <v>2777.7777777777778</v>
      </c>
      <c r="L321" s="5">
        <f t="shared" si="41"/>
        <v>595.48611111113962</v>
      </c>
      <c r="M321" s="5">
        <f>IF(E321&lt;=$B$3,$B$2-SUM($K$3:K321),0)</f>
        <v>113888.88888889446</v>
      </c>
      <c r="N321" s="2">
        <v>4.9000000000000004</v>
      </c>
      <c r="O321" s="1">
        <f t="shared" si="42"/>
        <v>6.125</v>
      </c>
      <c r="P321" s="1">
        <f t="shared" si="43"/>
        <v>5.1041666666666666E-3</v>
      </c>
      <c r="Q321" s="1">
        <f t="shared" si="44"/>
        <v>6.2515313091616163</v>
      </c>
    </row>
    <row r="322" spans="5:17" x14ac:dyDescent="0.2">
      <c r="E322" s="1">
        <v>320</v>
      </c>
      <c r="F322" s="4">
        <f t="shared" si="36"/>
        <v>6076.105395806896</v>
      </c>
      <c r="G322" s="4">
        <f t="shared" si="37"/>
        <v>4931.4120340542295</v>
      </c>
      <c r="H322" s="4">
        <f t="shared" si="38"/>
        <v>1144.693361752667</v>
      </c>
      <c r="I322" s="4">
        <f>IF($B$2-SUM($G$3:G322)&lt; 0.001,0,$B$2-SUM($G$3:G322))</f>
        <v>219335.04251341522</v>
      </c>
      <c r="J322" s="5">
        <f t="shared" si="39"/>
        <v>3359.0856481481483</v>
      </c>
      <c r="K322" s="5">
        <f t="shared" si="40"/>
        <v>2777.7777777777778</v>
      </c>
      <c r="L322" s="5">
        <f t="shared" si="41"/>
        <v>581.30787037039897</v>
      </c>
      <c r="M322" s="5">
        <f>IF(E322&lt;=$B$3,$B$2-SUM($K$3:K322),0)</f>
        <v>111111.11111111671</v>
      </c>
      <c r="N322" s="2">
        <v>4.9000000000000004</v>
      </c>
      <c r="O322" s="1">
        <f t="shared" si="42"/>
        <v>6.125</v>
      </c>
      <c r="P322" s="1">
        <f t="shared" si="43"/>
        <v>5.1041666666666666E-3</v>
      </c>
      <c r="Q322" s="1">
        <f t="shared" si="44"/>
        <v>6.2515313091616163</v>
      </c>
    </row>
    <row r="323" spans="5:17" x14ac:dyDescent="0.2">
      <c r="E323" s="1">
        <v>321</v>
      </c>
      <c r="F323" s="4">
        <f t="shared" ref="F323:F362" si="45">IF(E323&lt;=$B$3, $B$2*P323*Q323/(Q323-1), 0)</f>
        <v>6076.105395806896</v>
      </c>
      <c r="G323" s="4">
        <f t="shared" ref="G323:G362" si="46">IF(E323&lt;=$B$3,$B$2*P323*POWER((1+P323),(E323-1))/(Q323-1),0)</f>
        <v>4956.5827829780474</v>
      </c>
      <c r="H323" s="4">
        <f t="shared" ref="H323:H362" si="47">IF(E323&lt;=$B$3,$B$2*P323*(Q323-POWER((1+P323),(E323-1)))/(Q323-1),0)</f>
        <v>1119.5226128288491</v>
      </c>
      <c r="I323" s="4">
        <f>IF($B$2-SUM($G$3:G323)&lt; 0.001,0,$B$2-SUM($G$3:G323))</f>
        <v>214378.45973043714</v>
      </c>
      <c r="J323" s="5">
        <f t="shared" ref="J323:J362" si="48">IF(E323&lt;=$B$3, ($B$2/$B$3)+($B$2 - ($B$2/$B$3) * (E323-1))*P323,0)</f>
        <v>3344.9074074074074</v>
      </c>
      <c r="K323" s="5">
        <f t="shared" ref="K323:K362" si="49">IF(E323&lt;=$B$3,$B$2/$B$3,0)</f>
        <v>2777.7777777777778</v>
      </c>
      <c r="L323" s="5">
        <f t="shared" si="41"/>
        <v>567.12962962965833</v>
      </c>
      <c r="M323" s="5">
        <f>IF(E323&lt;=$B$3,$B$2-SUM($K$3:K323),0)</f>
        <v>108333.33333333896</v>
      </c>
      <c r="N323" s="2">
        <v>4.9000000000000004</v>
      </c>
      <c r="O323" s="1">
        <f t="shared" si="42"/>
        <v>6.125</v>
      </c>
      <c r="P323" s="1">
        <f t="shared" si="43"/>
        <v>5.1041666666666666E-3</v>
      </c>
      <c r="Q323" s="1">
        <f t="shared" si="44"/>
        <v>6.2515313091616163</v>
      </c>
    </row>
    <row r="324" spans="5:17" x14ac:dyDescent="0.2">
      <c r="E324" s="1">
        <v>322</v>
      </c>
      <c r="F324" s="4">
        <f t="shared" si="45"/>
        <v>6076.105395806896</v>
      </c>
      <c r="G324" s="4">
        <f t="shared" si="46"/>
        <v>4981.8820075994981</v>
      </c>
      <c r="H324" s="4">
        <f t="shared" si="47"/>
        <v>1094.223388207399</v>
      </c>
      <c r="I324" s="4">
        <f>IF($B$2-SUM($G$3:G324)&lt; 0.001,0,$B$2-SUM($G$3:G324))</f>
        <v>209396.57772283768</v>
      </c>
      <c r="J324" s="5">
        <f t="shared" si="48"/>
        <v>3330.729166666667</v>
      </c>
      <c r="K324" s="5">
        <f t="shared" si="49"/>
        <v>2777.7777777777778</v>
      </c>
      <c r="L324" s="5">
        <f t="shared" ref="L324:L362" si="50">(K324+M324)*P324</f>
        <v>552.95138888891779</v>
      </c>
      <c r="M324" s="5">
        <f>IF(E324&lt;=$B$3,$B$2-SUM($K$3:K324),0)</f>
        <v>105555.55555556121</v>
      </c>
      <c r="N324" s="2">
        <v>4.9000000000000004</v>
      </c>
      <c r="O324" s="1">
        <f t="shared" ref="O324:O362" si="51">N324*$B$4/100</f>
        <v>6.125</v>
      </c>
      <c r="P324" s="1">
        <f t="shared" ref="P324:P362" si="52">O324/1200</f>
        <v>5.1041666666666666E-3</v>
      </c>
      <c r="Q324" s="1">
        <f t="shared" ref="Q324:Q362" si="53">POWER((1+P324),$B$3)</f>
        <v>6.2515313091616163</v>
      </c>
    </row>
    <row r="325" spans="5:17" x14ac:dyDescent="0.2">
      <c r="E325" s="1">
        <v>323</v>
      </c>
      <c r="F325" s="4">
        <f t="shared" si="45"/>
        <v>6076.105395806896</v>
      </c>
      <c r="G325" s="4">
        <f t="shared" si="46"/>
        <v>5007.3103636799542</v>
      </c>
      <c r="H325" s="4">
        <f t="shared" si="47"/>
        <v>1068.7950321269427</v>
      </c>
      <c r="I325" s="4">
        <f>IF($B$2-SUM($G$3:G325)&lt; 0.001,0,$B$2-SUM($G$3:G325))</f>
        <v>204389.26735915767</v>
      </c>
      <c r="J325" s="5">
        <f t="shared" si="48"/>
        <v>3316.5509259259256</v>
      </c>
      <c r="K325" s="5">
        <f t="shared" si="49"/>
        <v>2777.7777777777778</v>
      </c>
      <c r="L325" s="5">
        <f t="shared" si="50"/>
        <v>538.77314814817714</v>
      </c>
      <c r="M325" s="5">
        <f>IF(E325&lt;=$B$3,$B$2-SUM($K$3:K325),0)</f>
        <v>102777.77777778346</v>
      </c>
      <c r="N325" s="2">
        <v>4.9000000000000004</v>
      </c>
      <c r="O325" s="1">
        <f t="shared" si="51"/>
        <v>6.125</v>
      </c>
      <c r="P325" s="1">
        <f t="shared" si="52"/>
        <v>5.1041666666666666E-3</v>
      </c>
      <c r="Q325" s="1">
        <f t="shared" si="53"/>
        <v>6.2515313091616163</v>
      </c>
    </row>
    <row r="326" spans="5:17" x14ac:dyDescent="0.2">
      <c r="E326" s="1">
        <v>324</v>
      </c>
      <c r="F326" s="4">
        <f t="shared" si="45"/>
        <v>6076.105395806896</v>
      </c>
      <c r="G326" s="4">
        <f t="shared" si="46"/>
        <v>5032.8685103279049</v>
      </c>
      <c r="H326" s="4">
        <f t="shared" si="47"/>
        <v>1043.2368854789922</v>
      </c>
      <c r="I326" s="4">
        <f>IF($B$2-SUM($G$3:G326)&lt; 0.001,0,$B$2-SUM($G$3:G326))</f>
        <v>199356.39884882979</v>
      </c>
      <c r="J326" s="5">
        <f t="shared" si="48"/>
        <v>3302.3726851851852</v>
      </c>
      <c r="K326" s="5">
        <f t="shared" si="49"/>
        <v>2777.7777777777778</v>
      </c>
      <c r="L326" s="5">
        <f t="shared" si="50"/>
        <v>524.59490740743649</v>
      </c>
      <c r="M326" s="5">
        <f>IF(E326&lt;=$B$3,$B$2-SUM($K$3:K326),0)</f>
        <v>100000.0000000057</v>
      </c>
      <c r="N326" s="2">
        <v>4.9000000000000004</v>
      </c>
      <c r="O326" s="1">
        <f t="shared" si="51"/>
        <v>6.125</v>
      </c>
      <c r="P326" s="1">
        <f t="shared" si="52"/>
        <v>5.1041666666666666E-3</v>
      </c>
      <c r="Q326" s="1">
        <f t="shared" si="53"/>
        <v>6.2515313091616163</v>
      </c>
    </row>
    <row r="327" spans="5:17" x14ac:dyDescent="0.2">
      <c r="E327" s="1">
        <v>325</v>
      </c>
      <c r="F327" s="4">
        <f t="shared" si="45"/>
        <v>6076.105395806896</v>
      </c>
      <c r="G327" s="4">
        <f t="shared" si="46"/>
        <v>5058.5571100160369</v>
      </c>
      <c r="H327" s="4">
        <f t="shared" si="47"/>
        <v>1017.5482857908596</v>
      </c>
      <c r="I327" s="4">
        <f>IF($B$2-SUM($G$3:G327)&lt; 0.001,0,$B$2-SUM($G$3:G327))</f>
        <v>194297.84173881379</v>
      </c>
      <c r="J327" s="5">
        <f t="shared" si="48"/>
        <v>3288.1944444444443</v>
      </c>
      <c r="K327" s="5">
        <f t="shared" si="49"/>
        <v>2777.7777777777778</v>
      </c>
      <c r="L327" s="5">
        <f t="shared" si="50"/>
        <v>510.4166666666959</v>
      </c>
      <c r="M327" s="5">
        <f>IF(E327&lt;=$B$3,$B$2-SUM($K$3:K327),0)</f>
        <v>97222.222222227952</v>
      </c>
      <c r="N327" s="2">
        <v>4.9000000000000004</v>
      </c>
      <c r="O327" s="1">
        <f t="shared" si="51"/>
        <v>6.125</v>
      </c>
      <c r="P327" s="1">
        <f t="shared" si="52"/>
        <v>5.1041666666666666E-3</v>
      </c>
      <c r="Q327" s="1">
        <f t="shared" si="53"/>
        <v>6.2515313091616163</v>
      </c>
    </row>
    <row r="328" spans="5:17" x14ac:dyDescent="0.2">
      <c r="E328" s="1">
        <v>326</v>
      </c>
      <c r="F328" s="4">
        <f t="shared" si="45"/>
        <v>6076.105395806896</v>
      </c>
      <c r="G328" s="4">
        <f t="shared" si="46"/>
        <v>5084.3768285984106</v>
      </c>
      <c r="H328" s="4">
        <f t="shared" si="47"/>
        <v>991.72856720848597</v>
      </c>
      <c r="I328" s="4">
        <f>IF($B$2-SUM($G$3:G328)&lt; 0.001,0,$B$2-SUM($G$3:G328))</f>
        <v>189213.46491021535</v>
      </c>
      <c r="J328" s="5">
        <f t="shared" si="48"/>
        <v>3274.0162037037039</v>
      </c>
      <c r="K328" s="5">
        <f t="shared" si="49"/>
        <v>2777.7777777777778</v>
      </c>
      <c r="L328" s="5">
        <f t="shared" si="50"/>
        <v>496.23842592595531</v>
      </c>
      <c r="M328" s="5">
        <f>IF(E328&lt;=$B$3,$B$2-SUM($K$3:K328),0)</f>
        <v>94444.444444450201</v>
      </c>
      <c r="N328" s="2">
        <v>4.9000000000000004</v>
      </c>
      <c r="O328" s="1">
        <f t="shared" si="51"/>
        <v>6.125</v>
      </c>
      <c r="P328" s="1">
        <f t="shared" si="52"/>
        <v>5.1041666666666666E-3</v>
      </c>
      <c r="Q328" s="1">
        <f t="shared" si="53"/>
        <v>6.2515313091616163</v>
      </c>
    </row>
    <row r="329" spans="5:17" x14ac:dyDescent="0.2">
      <c r="E329" s="1">
        <v>327</v>
      </c>
      <c r="F329" s="4">
        <f t="shared" si="45"/>
        <v>6076.105395806896</v>
      </c>
      <c r="G329" s="4">
        <f t="shared" si="46"/>
        <v>5110.3283353277147</v>
      </c>
      <c r="H329" s="4">
        <f t="shared" si="47"/>
        <v>965.77706047918161</v>
      </c>
      <c r="I329" s="4">
        <f>IF($B$2-SUM($G$3:G329)&lt; 0.001,0,$B$2-SUM($G$3:G329))</f>
        <v>184103.13657488767</v>
      </c>
      <c r="J329" s="5">
        <f t="shared" si="48"/>
        <v>3259.8379629629626</v>
      </c>
      <c r="K329" s="5">
        <f t="shared" si="49"/>
        <v>2777.7777777777778</v>
      </c>
      <c r="L329" s="5">
        <f t="shared" si="50"/>
        <v>482.06018518521472</v>
      </c>
      <c r="M329" s="5">
        <f>IF(E329&lt;=$B$3,$B$2-SUM($K$3:K329),0)</f>
        <v>91666.666666672449</v>
      </c>
      <c r="N329" s="2">
        <v>4.9000000000000004</v>
      </c>
      <c r="O329" s="1">
        <f t="shared" si="51"/>
        <v>6.125</v>
      </c>
      <c r="P329" s="1">
        <f t="shared" si="52"/>
        <v>5.1041666666666666E-3</v>
      </c>
      <c r="Q329" s="1">
        <f t="shared" si="53"/>
        <v>6.2515313091616163</v>
      </c>
    </row>
    <row r="330" spans="5:17" x14ac:dyDescent="0.2">
      <c r="E330" s="1">
        <v>328</v>
      </c>
      <c r="F330" s="4">
        <f t="shared" si="45"/>
        <v>6076.105395806896</v>
      </c>
      <c r="G330" s="4">
        <f t="shared" si="46"/>
        <v>5136.4123028726171</v>
      </c>
      <c r="H330" s="4">
        <f t="shared" si="47"/>
        <v>939.69309293427932</v>
      </c>
      <c r="I330" s="4">
        <f>IF($B$2-SUM($G$3:G330)&lt; 0.001,0,$B$2-SUM($G$3:G330))</f>
        <v>178966.72427201504</v>
      </c>
      <c r="J330" s="5">
        <f t="shared" si="48"/>
        <v>3245.6597222222222</v>
      </c>
      <c r="K330" s="5">
        <f t="shared" si="49"/>
        <v>2777.7777777777778</v>
      </c>
      <c r="L330" s="5">
        <f t="shared" si="50"/>
        <v>467.88194444447407</v>
      </c>
      <c r="M330" s="5">
        <f>IF(E330&lt;=$B$3,$B$2-SUM($K$3:K330),0)</f>
        <v>88888.888888894697</v>
      </c>
      <c r="N330" s="2">
        <v>4.9000000000000004</v>
      </c>
      <c r="O330" s="1">
        <f t="shared" si="51"/>
        <v>6.125</v>
      </c>
      <c r="P330" s="1">
        <f t="shared" si="52"/>
        <v>5.1041666666666666E-3</v>
      </c>
      <c r="Q330" s="1">
        <f t="shared" si="53"/>
        <v>6.2515313091616163</v>
      </c>
    </row>
    <row r="331" spans="5:17" x14ac:dyDescent="0.2">
      <c r="E331" s="1">
        <v>329</v>
      </c>
      <c r="F331" s="4">
        <f t="shared" si="45"/>
        <v>6076.105395806896</v>
      </c>
      <c r="G331" s="4">
        <f t="shared" si="46"/>
        <v>5162.6294073351955</v>
      </c>
      <c r="H331" s="4">
        <f t="shared" si="47"/>
        <v>913.47598847170093</v>
      </c>
      <c r="I331" s="4">
        <f>IF($B$2-SUM($G$3:G331)&lt; 0.001,0,$B$2-SUM($G$3:G331))</f>
        <v>173804.09486467985</v>
      </c>
      <c r="J331" s="5">
        <f t="shared" si="48"/>
        <v>3231.4814814814813</v>
      </c>
      <c r="K331" s="5">
        <f t="shared" si="49"/>
        <v>2777.7777777777778</v>
      </c>
      <c r="L331" s="5">
        <f t="shared" si="50"/>
        <v>453.70370370373348</v>
      </c>
      <c r="M331" s="5">
        <f>IF(E331&lt;=$B$3,$B$2-SUM($K$3:K331),0)</f>
        <v>86111.111111116945</v>
      </c>
      <c r="N331" s="2">
        <v>4.9000000000000004</v>
      </c>
      <c r="O331" s="1">
        <f t="shared" si="51"/>
        <v>6.125</v>
      </c>
      <c r="P331" s="1">
        <f t="shared" si="52"/>
        <v>5.1041666666666666E-3</v>
      </c>
      <c r="Q331" s="1">
        <f t="shared" si="53"/>
        <v>6.2515313091616163</v>
      </c>
    </row>
    <row r="332" spans="5:17" x14ac:dyDescent="0.2">
      <c r="E332" s="1">
        <v>330</v>
      </c>
      <c r="F332" s="4">
        <f t="shared" si="45"/>
        <v>6076.105395806896</v>
      </c>
      <c r="G332" s="4">
        <f t="shared" si="46"/>
        <v>5188.9803282684707</v>
      </c>
      <c r="H332" s="4">
        <f t="shared" si="47"/>
        <v>887.12506753842592</v>
      </c>
      <c r="I332" s="4">
        <f>IF($B$2-SUM($G$3:G332)&lt; 0.001,0,$B$2-SUM($G$3:G332))</f>
        <v>168615.11453641136</v>
      </c>
      <c r="J332" s="5">
        <f t="shared" si="48"/>
        <v>3217.3032407407409</v>
      </c>
      <c r="K332" s="5">
        <f t="shared" si="49"/>
        <v>2777.7777777777778</v>
      </c>
      <c r="L332" s="5">
        <f t="shared" si="50"/>
        <v>439.52546296299289</v>
      </c>
      <c r="M332" s="5">
        <f>IF(E332&lt;=$B$3,$B$2-SUM($K$3:K332),0)</f>
        <v>83333.333333339193</v>
      </c>
      <c r="N332" s="2">
        <v>4.9000000000000004</v>
      </c>
      <c r="O332" s="1">
        <f t="shared" si="51"/>
        <v>6.125</v>
      </c>
      <c r="P332" s="1">
        <f t="shared" si="52"/>
        <v>5.1041666666666666E-3</v>
      </c>
      <c r="Q332" s="1">
        <f t="shared" si="53"/>
        <v>6.2515313091616163</v>
      </c>
    </row>
    <row r="333" spans="5:17" x14ac:dyDescent="0.2">
      <c r="E333" s="1">
        <v>331</v>
      </c>
      <c r="F333" s="4">
        <f t="shared" si="45"/>
        <v>6076.105395806896</v>
      </c>
      <c r="G333" s="4">
        <f t="shared" si="46"/>
        <v>5215.4657486940068</v>
      </c>
      <c r="H333" s="4">
        <f t="shared" si="47"/>
        <v>860.63964711288975</v>
      </c>
      <c r="I333" s="4">
        <f>IF($B$2-SUM($G$3:G333)&lt; 0.001,0,$B$2-SUM($G$3:G333))</f>
        <v>163399.64878771733</v>
      </c>
      <c r="J333" s="5">
        <f t="shared" si="48"/>
        <v>3203.125</v>
      </c>
      <c r="K333" s="5">
        <f t="shared" si="49"/>
        <v>2777.7777777777778</v>
      </c>
      <c r="L333" s="5">
        <f t="shared" si="50"/>
        <v>425.3472222222523</v>
      </c>
      <c r="M333" s="5">
        <f>IF(E333&lt;=$B$3,$B$2-SUM($K$3:K333),0)</f>
        <v>80555.555555561441</v>
      </c>
      <c r="N333" s="2">
        <v>4.9000000000000004</v>
      </c>
      <c r="O333" s="1">
        <f t="shared" si="51"/>
        <v>6.125</v>
      </c>
      <c r="P333" s="1">
        <f t="shared" si="52"/>
        <v>5.1041666666666666E-3</v>
      </c>
      <c r="Q333" s="1">
        <f t="shared" si="53"/>
        <v>6.2515313091616163</v>
      </c>
    </row>
    <row r="334" spans="5:17" x14ac:dyDescent="0.2">
      <c r="E334" s="1">
        <v>332</v>
      </c>
      <c r="F334" s="4">
        <f t="shared" si="45"/>
        <v>6076.105395806896</v>
      </c>
      <c r="G334" s="4">
        <f t="shared" si="46"/>
        <v>5242.0863551196344</v>
      </c>
      <c r="H334" s="4">
        <f t="shared" si="47"/>
        <v>834.01904068726265</v>
      </c>
      <c r="I334" s="4">
        <f>IF($B$2-SUM($G$3:G334)&lt; 0.001,0,$B$2-SUM($G$3:G334))</f>
        <v>158157.56243259774</v>
      </c>
      <c r="J334" s="5">
        <f t="shared" si="48"/>
        <v>3188.9467592592591</v>
      </c>
      <c r="K334" s="5">
        <f t="shared" si="49"/>
        <v>2777.7777777777778</v>
      </c>
      <c r="L334" s="5">
        <f t="shared" si="50"/>
        <v>411.16898148151165</v>
      </c>
      <c r="M334" s="5">
        <f>IF(E334&lt;=$B$3,$B$2-SUM($K$3:K334),0)</f>
        <v>77777.777777783689</v>
      </c>
      <c r="N334" s="2">
        <v>4.9000000000000004</v>
      </c>
      <c r="O334" s="1">
        <f t="shared" si="51"/>
        <v>6.125</v>
      </c>
      <c r="P334" s="1">
        <f t="shared" si="52"/>
        <v>5.1041666666666666E-3</v>
      </c>
      <c r="Q334" s="1">
        <f t="shared" si="53"/>
        <v>6.2515313091616163</v>
      </c>
    </row>
    <row r="335" spans="5:17" x14ac:dyDescent="0.2">
      <c r="E335" s="1">
        <v>333</v>
      </c>
      <c r="F335" s="4">
        <f t="shared" si="45"/>
        <v>6076.105395806896</v>
      </c>
      <c r="G335" s="4">
        <f t="shared" si="46"/>
        <v>5268.8428375572239</v>
      </c>
      <c r="H335" s="4">
        <f t="shared" si="47"/>
        <v>807.26255824967313</v>
      </c>
      <c r="I335" s="4">
        <f>IF($B$2-SUM($G$3:G335)&lt; 0.001,0,$B$2-SUM($G$3:G335))</f>
        <v>152888.71959504054</v>
      </c>
      <c r="J335" s="5">
        <f t="shared" si="48"/>
        <v>3174.7685185185182</v>
      </c>
      <c r="K335" s="5">
        <f t="shared" si="49"/>
        <v>2777.7777777777778</v>
      </c>
      <c r="L335" s="5">
        <f t="shared" si="50"/>
        <v>396.99074074077106</v>
      </c>
      <c r="M335" s="5">
        <f>IF(E335&lt;=$B$3,$B$2-SUM($K$3:K335),0)</f>
        <v>75000.000000005937</v>
      </c>
      <c r="N335" s="2">
        <v>4.9000000000000004</v>
      </c>
      <c r="O335" s="1">
        <f t="shared" si="51"/>
        <v>6.125</v>
      </c>
      <c r="P335" s="1">
        <f t="shared" si="52"/>
        <v>5.1041666666666666E-3</v>
      </c>
      <c r="Q335" s="1">
        <f t="shared" si="53"/>
        <v>6.2515313091616163</v>
      </c>
    </row>
    <row r="336" spans="5:17" x14ac:dyDescent="0.2">
      <c r="E336" s="1">
        <v>334</v>
      </c>
      <c r="F336" s="4">
        <f t="shared" si="45"/>
        <v>6076.105395806896</v>
      </c>
      <c r="G336" s="4">
        <f t="shared" si="46"/>
        <v>5295.7358895405887</v>
      </c>
      <c r="H336" s="4">
        <f t="shared" si="47"/>
        <v>780.36950626630789</v>
      </c>
      <c r="I336" s="4">
        <f>IF($B$2-SUM($G$3:G336)&lt; 0.001,0,$B$2-SUM($G$3:G336))</f>
        <v>147592.98370549991</v>
      </c>
      <c r="J336" s="5">
        <f t="shared" si="48"/>
        <v>3160.5902777777778</v>
      </c>
      <c r="K336" s="5">
        <f t="shared" si="49"/>
        <v>2777.7777777777778</v>
      </c>
      <c r="L336" s="5">
        <f t="shared" si="50"/>
        <v>382.81250000003047</v>
      </c>
      <c r="M336" s="5">
        <f>IF(E336&lt;=$B$3,$B$2-SUM($K$3:K336),0)</f>
        <v>72222.222222228185</v>
      </c>
      <c r="N336" s="2">
        <v>4.9000000000000004</v>
      </c>
      <c r="O336" s="1">
        <f t="shared" si="51"/>
        <v>6.125</v>
      </c>
      <c r="P336" s="1">
        <f t="shared" si="52"/>
        <v>5.1041666666666666E-3</v>
      </c>
      <c r="Q336" s="1">
        <f t="shared" si="53"/>
        <v>6.2515313091616163</v>
      </c>
    </row>
    <row r="337" spans="5:17" x14ac:dyDescent="0.2">
      <c r="E337" s="1">
        <v>335</v>
      </c>
      <c r="F337" s="4">
        <f t="shared" si="45"/>
        <v>6076.105395806896</v>
      </c>
      <c r="G337" s="4">
        <f t="shared" si="46"/>
        <v>5322.7662081434519</v>
      </c>
      <c r="H337" s="4">
        <f t="shared" si="47"/>
        <v>753.33918766344448</v>
      </c>
      <c r="I337" s="4">
        <f>IF($B$2-SUM($G$3:G337)&lt; 0.001,0,$B$2-SUM($G$3:G337))</f>
        <v>142270.21749735647</v>
      </c>
      <c r="J337" s="5">
        <f t="shared" si="48"/>
        <v>3146.4120370370374</v>
      </c>
      <c r="K337" s="5">
        <f t="shared" si="49"/>
        <v>2777.7777777777778</v>
      </c>
      <c r="L337" s="5">
        <f t="shared" si="50"/>
        <v>368.63425925928982</v>
      </c>
      <c r="M337" s="5">
        <f>IF(E337&lt;=$B$3,$B$2-SUM($K$3:K337),0)</f>
        <v>69444.444444450433</v>
      </c>
      <c r="N337" s="2">
        <v>4.9000000000000004</v>
      </c>
      <c r="O337" s="1">
        <f t="shared" si="51"/>
        <v>6.125</v>
      </c>
      <c r="P337" s="1">
        <f t="shared" si="52"/>
        <v>5.1041666666666666E-3</v>
      </c>
      <c r="Q337" s="1">
        <f t="shared" si="53"/>
        <v>6.2515313091616163</v>
      </c>
    </row>
    <row r="338" spans="5:17" x14ac:dyDescent="0.2">
      <c r="E338" s="1">
        <v>336</v>
      </c>
      <c r="F338" s="4">
        <f t="shared" si="45"/>
        <v>6076.105395806896</v>
      </c>
      <c r="G338" s="4">
        <f t="shared" si="46"/>
        <v>5349.9344939975181</v>
      </c>
      <c r="H338" s="4">
        <f t="shared" si="47"/>
        <v>726.17090180937782</v>
      </c>
      <c r="I338" s="4">
        <f>IF($B$2-SUM($G$3:G338)&lt; 0.001,0,$B$2-SUM($G$3:G338))</f>
        <v>136920.28300335899</v>
      </c>
      <c r="J338" s="5">
        <f t="shared" si="48"/>
        <v>3132.2337962962961</v>
      </c>
      <c r="K338" s="5">
        <f t="shared" si="49"/>
        <v>2777.7777777777778</v>
      </c>
      <c r="L338" s="5">
        <f t="shared" si="50"/>
        <v>354.45601851854923</v>
      </c>
      <c r="M338" s="5">
        <f>IF(E338&lt;=$B$3,$B$2-SUM($K$3:K338),0)</f>
        <v>66666.666666672681</v>
      </c>
      <c r="N338" s="2">
        <v>4.9000000000000004</v>
      </c>
      <c r="O338" s="1">
        <f t="shared" si="51"/>
        <v>6.125</v>
      </c>
      <c r="P338" s="1">
        <f t="shared" si="52"/>
        <v>5.1041666666666666E-3</v>
      </c>
      <c r="Q338" s="1">
        <f t="shared" si="53"/>
        <v>6.2515313091616163</v>
      </c>
    </row>
    <row r="339" spans="5:17" x14ac:dyDescent="0.2">
      <c r="E339" s="1">
        <v>337</v>
      </c>
      <c r="F339" s="4">
        <f t="shared" si="45"/>
        <v>6076.105395806896</v>
      </c>
      <c r="G339" s="4">
        <f t="shared" si="46"/>
        <v>5377.2414513106296</v>
      </c>
      <c r="H339" s="4">
        <f t="shared" si="47"/>
        <v>698.86394449626653</v>
      </c>
      <c r="I339" s="4">
        <f>IF($B$2-SUM($G$3:G339)&lt; 0.001,0,$B$2-SUM($G$3:G339))</f>
        <v>131543.04155204841</v>
      </c>
      <c r="J339" s="5">
        <f t="shared" si="48"/>
        <v>3118.0555555555557</v>
      </c>
      <c r="K339" s="5">
        <f t="shared" si="49"/>
        <v>2777.7777777777778</v>
      </c>
      <c r="L339" s="5">
        <f t="shared" si="50"/>
        <v>340.27777777780864</v>
      </c>
      <c r="M339" s="5">
        <f>IF(E339&lt;=$B$3,$B$2-SUM($K$3:K339),0)</f>
        <v>63888.88888889493</v>
      </c>
      <c r="N339" s="2">
        <v>4.9000000000000004</v>
      </c>
      <c r="O339" s="1">
        <f t="shared" si="51"/>
        <v>6.125</v>
      </c>
      <c r="P339" s="1">
        <f t="shared" si="52"/>
        <v>5.1041666666666666E-3</v>
      </c>
      <c r="Q339" s="1">
        <f t="shared" si="53"/>
        <v>6.2515313091616163</v>
      </c>
    </row>
    <row r="340" spans="5:17" x14ac:dyDescent="0.2">
      <c r="E340" s="1">
        <v>338</v>
      </c>
      <c r="F340" s="4">
        <f t="shared" si="45"/>
        <v>6076.105395806896</v>
      </c>
      <c r="G340" s="4">
        <f t="shared" si="46"/>
        <v>5404.6877878850291</v>
      </c>
      <c r="H340" s="4">
        <f t="shared" si="47"/>
        <v>671.41760792186767</v>
      </c>
      <c r="I340" s="4">
        <f>IF($B$2-SUM($G$3:G340)&lt; 0.001,0,$B$2-SUM($G$3:G340))</f>
        <v>126138.35376416333</v>
      </c>
      <c r="J340" s="5">
        <f t="shared" si="48"/>
        <v>3103.8773148148148</v>
      </c>
      <c r="K340" s="5">
        <f t="shared" si="49"/>
        <v>2777.7777777777778</v>
      </c>
      <c r="L340" s="5">
        <f t="shared" si="50"/>
        <v>326.09953703706799</v>
      </c>
      <c r="M340" s="5">
        <f>IF(E340&lt;=$B$3,$B$2-SUM($K$3:K340),0)</f>
        <v>61111.111111117178</v>
      </c>
      <c r="N340" s="2">
        <v>4.9000000000000004</v>
      </c>
      <c r="O340" s="1">
        <f t="shared" si="51"/>
        <v>6.125</v>
      </c>
      <c r="P340" s="1">
        <f t="shared" si="52"/>
        <v>5.1041666666666666E-3</v>
      </c>
      <c r="Q340" s="1">
        <f t="shared" si="53"/>
        <v>6.2515313091616163</v>
      </c>
    </row>
    <row r="341" spans="5:17" x14ac:dyDescent="0.2">
      <c r="E341" s="1">
        <v>339</v>
      </c>
      <c r="F341" s="4">
        <f t="shared" si="45"/>
        <v>6076.105395806896</v>
      </c>
      <c r="G341" s="4">
        <f t="shared" si="46"/>
        <v>5432.2742151356924</v>
      </c>
      <c r="H341" s="4">
        <f t="shared" si="47"/>
        <v>643.83118067120392</v>
      </c>
      <c r="I341" s="4">
        <f>IF($B$2-SUM($G$3:G341)&lt; 0.001,0,$B$2-SUM($G$3:G341))</f>
        <v>120706.07954902761</v>
      </c>
      <c r="J341" s="5">
        <f t="shared" si="48"/>
        <v>3089.6990740740744</v>
      </c>
      <c r="K341" s="5">
        <f t="shared" si="49"/>
        <v>2777.7777777777778</v>
      </c>
      <c r="L341" s="5">
        <f t="shared" si="50"/>
        <v>311.9212962963274</v>
      </c>
      <c r="M341" s="5">
        <f>IF(E341&lt;=$B$3,$B$2-SUM($K$3:K341),0)</f>
        <v>58333.333333339426</v>
      </c>
      <c r="N341" s="2">
        <v>4.9000000000000004</v>
      </c>
      <c r="O341" s="1">
        <f t="shared" si="51"/>
        <v>6.125</v>
      </c>
      <c r="P341" s="1">
        <f t="shared" si="52"/>
        <v>5.1041666666666666E-3</v>
      </c>
      <c r="Q341" s="1">
        <f t="shared" si="53"/>
        <v>6.2515313091616163</v>
      </c>
    </row>
    <row r="342" spans="5:17" x14ac:dyDescent="0.2">
      <c r="E342" s="1">
        <v>340</v>
      </c>
      <c r="F342" s="4">
        <f t="shared" si="45"/>
        <v>6076.105395806896</v>
      </c>
      <c r="G342" s="4">
        <f t="shared" si="46"/>
        <v>5460.001448108781</v>
      </c>
      <c r="H342" s="4">
        <f t="shared" si="47"/>
        <v>616.10394769811558</v>
      </c>
      <c r="I342" s="4">
        <f>IF($B$2-SUM($G$3:G342)&lt; 0.001,0,$B$2-SUM($G$3:G342))</f>
        <v>115246.07810091879</v>
      </c>
      <c r="J342" s="5">
        <f t="shared" si="48"/>
        <v>3075.5208333333335</v>
      </c>
      <c r="K342" s="5">
        <f t="shared" si="49"/>
        <v>2777.7777777777778</v>
      </c>
      <c r="L342" s="5">
        <f t="shared" si="50"/>
        <v>297.74305555558681</v>
      </c>
      <c r="M342" s="5">
        <f>IF(E342&lt;=$B$3,$B$2-SUM($K$3:K342),0)</f>
        <v>55555.555555561674</v>
      </c>
      <c r="N342" s="2">
        <v>4.9000000000000004</v>
      </c>
      <c r="O342" s="1">
        <f t="shared" si="51"/>
        <v>6.125</v>
      </c>
      <c r="P342" s="1">
        <f t="shared" si="52"/>
        <v>5.1041666666666666E-3</v>
      </c>
      <c r="Q342" s="1">
        <f t="shared" si="53"/>
        <v>6.2515313091616163</v>
      </c>
    </row>
    <row r="343" spans="5:17" x14ac:dyDescent="0.2">
      <c r="E343" s="1">
        <v>341</v>
      </c>
      <c r="F343" s="4">
        <f t="shared" si="45"/>
        <v>6076.105395806896</v>
      </c>
      <c r="G343" s="4">
        <f t="shared" si="46"/>
        <v>5487.8702055001704</v>
      </c>
      <c r="H343" s="4">
        <f t="shared" si="47"/>
        <v>588.23519030672639</v>
      </c>
      <c r="I343" s="4">
        <f>IF($B$2-SUM($G$3:G343)&lt; 0.001,0,$B$2-SUM($G$3:G343))</f>
        <v>109758.20789541863</v>
      </c>
      <c r="J343" s="5">
        <f t="shared" si="48"/>
        <v>3061.3425925925922</v>
      </c>
      <c r="K343" s="5">
        <f t="shared" si="49"/>
        <v>2777.7777777777778</v>
      </c>
      <c r="L343" s="5">
        <f t="shared" si="50"/>
        <v>283.56481481484616</v>
      </c>
      <c r="M343" s="5">
        <f>IF(E343&lt;=$B$3,$B$2-SUM($K$3:K343),0)</f>
        <v>52777.777777783922</v>
      </c>
      <c r="N343" s="2">
        <v>4.9000000000000004</v>
      </c>
      <c r="O343" s="1">
        <f t="shared" si="51"/>
        <v>6.125</v>
      </c>
      <c r="P343" s="1">
        <f t="shared" si="52"/>
        <v>5.1041666666666666E-3</v>
      </c>
      <c r="Q343" s="1">
        <f t="shared" si="53"/>
        <v>6.2515313091616163</v>
      </c>
    </row>
    <row r="344" spans="5:17" x14ac:dyDescent="0.2">
      <c r="E344" s="1">
        <v>342</v>
      </c>
      <c r="F344" s="4">
        <f t="shared" si="45"/>
        <v>6076.105395806896</v>
      </c>
      <c r="G344" s="4">
        <f t="shared" si="46"/>
        <v>5515.8812096740785</v>
      </c>
      <c r="H344" s="4">
        <f t="shared" si="47"/>
        <v>560.2241861328182</v>
      </c>
      <c r="I344" s="4">
        <f>IF($B$2-SUM($G$3:G344)&lt; 0.001,0,$B$2-SUM($G$3:G344))</f>
        <v>104242.32668574457</v>
      </c>
      <c r="J344" s="5">
        <f t="shared" si="48"/>
        <v>3047.1643518518517</v>
      </c>
      <c r="K344" s="5">
        <f t="shared" si="49"/>
        <v>2777.7777777777778</v>
      </c>
      <c r="L344" s="5">
        <f t="shared" si="50"/>
        <v>269.38657407410557</v>
      </c>
      <c r="M344" s="5">
        <f>IF(E344&lt;=$B$3,$B$2-SUM($K$3:K344),0)</f>
        <v>50000.00000000617</v>
      </c>
      <c r="N344" s="2">
        <v>4.9000000000000004</v>
      </c>
      <c r="O344" s="1">
        <f t="shared" si="51"/>
        <v>6.125</v>
      </c>
      <c r="P344" s="1">
        <f t="shared" si="52"/>
        <v>5.1041666666666666E-3</v>
      </c>
      <c r="Q344" s="1">
        <f t="shared" si="53"/>
        <v>6.2515313091616163</v>
      </c>
    </row>
    <row r="345" spans="5:17" x14ac:dyDescent="0.2">
      <c r="E345" s="1">
        <v>343</v>
      </c>
      <c r="F345" s="4">
        <f t="shared" si="45"/>
        <v>6076.105395806896</v>
      </c>
      <c r="G345" s="4">
        <f t="shared" si="46"/>
        <v>5544.0351866817909</v>
      </c>
      <c r="H345" s="4">
        <f t="shared" si="47"/>
        <v>532.07020912510598</v>
      </c>
      <c r="I345" s="4">
        <f>IF($B$2-SUM($G$3:G345)&lt; 0.001,0,$B$2-SUM($G$3:G345))</f>
        <v>98698.291499062791</v>
      </c>
      <c r="J345" s="5">
        <f t="shared" si="48"/>
        <v>3032.9861111111113</v>
      </c>
      <c r="K345" s="5">
        <f t="shared" si="49"/>
        <v>2777.7777777777778</v>
      </c>
      <c r="L345" s="5">
        <f t="shared" si="50"/>
        <v>255.20833333336498</v>
      </c>
      <c r="M345" s="5">
        <f>IF(E345&lt;=$B$3,$B$2-SUM($K$3:K345),0)</f>
        <v>47222.222222228418</v>
      </c>
      <c r="N345" s="2">
        <v>4.9000000000000004</v>
      </c>
      <c r="O345" s="1">
        <f t="shared" si="51"/>
        <v>6.125</v>
      </c>
      <c r="P345" s="1">
        <f t="shared" si="52"/>
        <v>5.1041666666666666E-3</v>
      </c>
      <c r="Q345" s="1">
        <f t="shared" si="53"/>
        <v>6.2515313091616163</v>
      </c>
    </row>
    <row r="346" spans="5:17" x14ac:dyDescent="0.2">
      <c r="E346" s="1">
        <v>344</v>
      </c>
      <c r="F346" s="4">
        <f t="shared" si="45"/>
        <v>6076.105395806896</v>
      </c>
      <c r="G346" s="4">
        <f t="shared" si="46"/>
        <v>5572.3328662804788</v>
      </c>
      <c r="H346" s="4">
        <f t="shared" si="47"/>
        <v>503.772529526418</v>
      </c>
      <c r="I346" s="4">
        <f>IF($B$2-SUM($G$3:G346)&lt; 0.001,0,$B$2-SUM($G$3:G346))</f>
        <v>93125.958632782334</v>
      </c>
      <c r="J346" s="5">
        <f t="shared" si="48"/>
        <v>3018.8078703703704</v>
      </c>
      <c r="K346" s="5">
        <f t="shared" si="49"/>
        <v>2777.7777777777778</v>
      </c>
      <c r="L346" s="5">
        <f t="shared" si="50"/>
        <v>241.03009259262436</v>
      </c>
      <c r="M346" s="5">
        <f>IF(E346&lt;=$B$3,$B$2-SUM($K$3:K346),0)</f>
        <v>44444.444444450666</v>
      </c>
      <c r="N346" s="2">
        <v>4.9000000000000004</v>
      </c>
      <c r="O346" s="1">
        <f t="shared" si="51"/>
        <v>6.125</v>
      </c>
      <c r="P346" s="1">
        <f t="shared" si="52"/>
        <v>5.1041666666666666E-3</v>
      </c>
      <c r="Q346" s="1">
        <f t="shared" si="53"/>
        <v>6.2515313091616163</v>
      </c>
    </row>
    <row r="347" spans="5:17" x14ac:dyDescent="0.2">
      <c r="E347" s="1">
        <v>345</v>
      </c>
      <c r="F347" s="4">
        <f t="shared" si="45"/>
        <v>6076.105395806896</v>
      </c>
      <c r="G347" s="4">
        <f t="shared" si="46"/>
        <v>5600.7749819521177</v>
      </c>
      <c r="H347" s="4">
        <f t="shared" si="47"/>
        <v>475.33041385477861</v>
      </c>
      <c r="I347" s="4">
        <f>IF($B$2-SUM($G$3:G347)&lt; 0.001,0,$B$2-SUM($G$3:G347))</f>
        <v>87525.183650830179</v>
      </c>
      <c r="J347" s="5">
        <f t="shared" si="48"/>
        <v>3004.6296296296296</v>
      </c>
      <c r="K347" s="5">
        <f t="shared" si="49"/>
        <v>2777.7777777777778</v>
      </c>
      <c r="L347" s="5">
        <f t="shared" si="50"/>
        <v>226.85185185188377</v>
      </c>
      <c r="M347" s="5">
        <f>IF(E347&lt;=$B$3,$B$2-SUM($K$3:K347),0)</f>
        <v>41666.666666672914</v>
      </c>
      <c r="N347" s="2">
        <v>4.9000000000000004</v>
      </c>
      <c r="O347" s="1">
        <f t="shared" si="51"/>
        <v>6.125</v>
      </c>
      <c r="P347" s="1">
        <f t="shared" si="52"/>
        <v>5.1041666666666666E-3</v>
      </c>
      <c r="Q347" s="1">
        <f t="shared" si="53"/>
        <v>6.2515313091616163</v>
      </c>
    </row>
    <row r="348" spans="5:17" x14ac:dyDescent="0.2">
      <c r="E348" s="1">
        <v>346</v>
      </c>
      <c r="F348" s="4">
        <f t="shared" si="45"/>
        <v>6076.105395806896</v>
      </c>
      <c r="G348" s="4">
        <f t="shared" si="46"/>
        <v>5629.3622709224992</v>
      </c>
      <c r="H348" s="4">
        <f t="shared" si="47"/>
        <v>446.74312488439728</v>
      </c>
      <c r="I348" s="4">
        <f>IF($B$2-SUM($G$3:G348)&lt; 0.001,0,$B$2-SUM($G$3:G348))</f>
        <v>81895.821379907662</v>
      </c>
      <c r="J348" s="5">
        <f t="shared" si="48"/>
        <v>2990.4513888888887</v>
      </c>
      <c r="K348" s="5">
        <f t="shared" si="49"/>
        <v>2777.7777777777778</v>
      </c>
      <c r="L348" s="5">
        <f t="shared" si="50"/>
        <v>212.67361111114315</v>
      </c>
      <c r="M348" s="5">
        <f>IF(E348&lt;=$B$3,$B$2-SUM($K$3:K348),0)</f>
        <v>38888.888888895162</v>
      </c>
      <c r="N348" s="2">
        <v>4.9000000000000004</v>
      </c>
      <c r="O348" s="1">
        <f t="shared" si="51"/>
        <v>6.125</v>
      </c>
      <c r="P348" s="1">
        <f t="shared" si="52"/>
        <v>5.1041666666666666E-3</v>
      </c>
      <c r="Q348" s="1">
        <f t="shared" si="53"/>
        <v>6.2515313091616163</v>
      </c>
    </row>
    <row r="349" spans="5:17" x14ac:dyDescent="0.2">
      <c r="E349" s="1">
        <v>347</v>
      </c>
      <c r="F349" s="4">
        <f t="shared" si="45"/>
        <v>6076.105395806896</v>
      </c>
      <c r="G349" s="4">
        <f t="shared" si="46"/>
        <v>5658.0954741803316</v>
      </c>
      <c r="H349" s="4">
        <f t="shared" si="47"/>
        <v>418.00992162656485</v>
      </c>
      <c r="I349" s="4">
        <f>IF($B$2-SUM($G$3:G349)&lt; 0.001,0,$B$2-SUM($G$3:G349))</f>
        <v>76237.725905727362</v>
      </c>
      <c r="J349" s="5">
        <f t="shared" si="48"/>
        <v>2976.2731481481483</v>
      </c>
      <c r="K349" s="5">
        <f t="shared" si="49"/>
        <v>2777.7777777777778</v>
      </c>
      <c r="L349" s="5">
        <f t="shared" si="50"/>
        <v>198.49537037040253</v>
      </c>
      <c r="M349" s="5">
        <f>IF(E349&lt;=$B$3,$B$2-SUM($K$3:K349),0)</f>
        <v>36111.11111111741</v>
      </c>
      <c r="N349" s="2">
        <v>4.9000000000000004</v>
      </c>
      <c r="O349" s="1">
        <f t="shared" si="51"/>
        <v>6.125</v>
      </c>
      <c r="P349" s="1">
        <f t="shared" si="52"/>
        <v>5.1041666666666666E-3</v>
      </c>
      <c r="Q349" s="1">
        <f t="shared" si="53"/>
        <v>6.2515313091616163</v>
      </c>
    </row>
    <row r="350" spans="5:17" x14ac:dyDescent="0.2">
      <c r="E350" s="1">
        <v>348</v>
      </c>
      <c r="F350" s="4">
        <f t="shared" si="45"/>
        <v>6076.105395806896</v>
      </c>
      <c r="G350" s="4">
        <f t="shared" si="46"/>
        <v>5686.9753364964627</v>
      </c>
      <c r="H350" s="4">
        <f t="shared" si="47"/>
        <v>389.13005931043398</v>
      </c>
      <c r="I350" s="4">
        <f>IF($B$2-SUM($G$3:G350)&lt; 0.001,0,$B$2-SUM($G$3:G350))</f>
        <v>70550.750569230877</v>
      </c>
      <c r="J350" s="5">
        <f t="shared" si="48"/>
        <v>2962.0949074074074</v>
      </c>
      <c r="K350" s="5">
        <f t="shared" si="49"/>
        <v>2777.7777777777778</v>
      </c>
      <c r="L350" s="5">
        <f t="shared" si="50"/>
        <v>184.31712962966193</v>
      </c>
      <c r="M350" s="5">
        <f>IF(E350&lt;=$B$3,$B$2-SUM($K$3:K350),0)</f>
        <v>33333.333333339659</v>
      </c>
      <c r="N350" s="2">
        <v>4.9000000000000004</v>
      </c>
      <c r="O350" s="1">
        <f t="shared" si="51"/>
        <v>6.125</v>
      </c>
      <c r="P350" s="1">
        <f t="shared" si="52"/>
        <v>5.1041666666666666E-3</v>
      </c>
      <c r="Q350" s="1">
        <f t="shared" si="53"/>
        <v>6.2515313091616163</v>
      </c>
    </row>
    <row r="351" spans="5:17" x14ac:dyDescent="0.2">
      <c r="E351" s="1">
        <v>349</v>
      </c>
      <c r="F351" s="4">
        <f t="shared" si="45"/>
        <v>6076.105395806896</v>
      </c>
      <c r="G351" s="4">
        <f t="shared" si="46"/>
        <v>5716.0026064431622</v>
      </c>
      <c r="H351" s="4">
        <f t="shared" si="47"/>
        <v>360.10278936373436</v>
      </c>
      <c r="I351" s="4">
        <f>IF($B$2-SUM($G$3:G351)&lt; 0.001,0,$B$2-SUM($G$3:G351))</f>
        <v>64834.747962787747</v>
      </c>
      <c r="J351" s="5">
        <f t="shared" si="48"/>
        <v>2947.916666666667</v>
      </c>
      <c r="K351" s="5">
        <f t="shared" si="49"/>
        <v>2777.7777777777778</v>
      </c>
      <c r="L351" s="5">
        <f t="shared" si="50"/>
        <v>170.13888888892131</v>
      </c>
      <c r="M351" s="5">
        <f>IF(E351&lt;=$B$3,$B$2-SUM($K$3:K351),0)</f>
        <v>30555.555555561907</v>
      </c>
      <c r="N351" s="2">
        <v>4.9000000000000004</v>
      </c>
      <c r="O351" s="1">
        <f t="shared" si="51"/>
        <v>6.125</v>
      </c>
      <c r="P351" s="1">
        <f t="shared" si="52"/>
        <v>5.1041666666666666E-3</v>
      </c>
      <c r="Q351" s="1">
        <f t="shared" si="53"/>
        <v>6.2515313091616163</v>
      </c>
    </row>
    <row r="352" spans="5:17" x14ac:dyDescent="0.2">
      <c r="E352" s="1">
        <v>350</v>
      </c>
      <c r="F352" s="4">
        <f t="shared" si="45"/>
        <v>6076.105395806896</v>
      </c>
      <c r="G352" s="4">
        <f t="shared" si="46"/>
        <v>5745.1780364135493</v>
      </c>
      <c r="H352" s="4">
        <f t="shared" si="47"/>
        <v>330.92735939334682</v>
      </c>
      <c r="I352" s="4">
        <f>IF($B$2-SUM($G$3:G352)&lt; 0.001,0,$B$2-SUM($G$3:G352))</f>
        <v>59089.569926374243</v>
      </c>
      <c r="J352" s="5">
        <f t="shared" si="48"/>
        <v>2933.7384259259256</v>
      </c>
      <c r="K352" s="5">
        <f t="shared" si="49"/>
        <v>2777.7777777777778</v>
      </c>
      <c r="L352" s="5">
        <f t="shared" si="50"/>
        <v>155.9606481481807</v>
      </c>
      <c r="M352" s="5">
        <f>IF(E352&lt;=$B$3,$B$2-SUM($K$3:K352),0)</f>
        <v>27777.777777784155</v>
      </c>
      <c r="N352" s="2">
        <v>4.9000000000000004</v>
      </c>
      <c r="O352" s="1">
        <f t="shared" si="51"/>
        <v>6.125</v>
      </c>
      <c r="P352" s="1">
        <f t="shared" si="52"/>
        <v>5.1041666666666666E-3</v>
      </c>
      <c r="Q352" s="1">
        <f t="shared" si="53"/>
        <v>6.2515313091616163</v>
      </c>
    </row>
    <row r="353" spans="5:17" x14ac:dyDescent="0.2">
      <c r="E353" s="1">
        <v>351</v>
      </c>
      <c r="F353" s="4">
        <f t="shared" si="45"/>
        <v>6076.105395806896</v>
      </c>
      <c r="G353" s="4">
        <f t="shared" si="46"/>
        <v>5774.5023826410779</v>
      </c>
      <c r="H353" s="4">
        <f t="shared" si="47"/>
        <v>301.60301316581848</v>
      </c>
      <c r="I353" s="4">
        <f>IF($B$2-SUM($G$3:G353)&lt; 0.001,0,$B$2-SUM($G$3:G353))</f>
        <v>53315.067543733167</v>
      </c>
      <c r="J353" s="5">
        <f t="shared" si="48"/>
        <v>2919.5601851851852</v>
      </c>
      <c r="K353" s="5">
        <f t="shared" si="49"/>
        <v>2777.7777777777778</v>
      </c>
      <c r="L353" s="5">
        <f t="shared" si="50"/>
        <v>141.78240740744008</v>
      </c>
      <c r="M353" s="5">
        <f>IF(E353&lt;=$B$3,$B$2-SUM($K$3:K353),0)</f>
        <v>25000.000000006403</v>
      </c>
      <c r="N353" s="2">
        <v>4.9000000000000004</v>
      </c>
      <c r="O353" s="1">
        <f t="shared" si="51"/>
        <v>6.125</v>
      </c>
      <c r="P353" s="1">
        <f t="shared" si="52"/>
        <v>5.1041666666666666E-3</v>
      </c>
      <c r="Q353" s="1">
        <f t="shared" si="53"/>
        <v>6.2515313091616163</v>
      </c>
    </row>
    <row r="354" spans="5:17" x14ac:dyDescent="0.2">
      <c r="E354" s="1">
        <v>352</v>
      </c>
      <c r="F354" s="4">
        <f t="shared" si="45"/>
        <v>6076.105395806896</v>
      </c>
      <c r="G354" s="4">
        <f t="shared" si="46"/>
        <v>5803.9764052191431</v>
      </c>
      <c r="H354" s="4">
        <f t="shared" si="47"/>
        <v>272.12899058775326</v>
      </c>
      <c r="I354" s="4">
        <f>IF($B$2-SUM($G$3:G354)&lt; 0.001,0,$B$2-SUM($G$3:G354))</f>
        <v>47511.091138513992</v>
      </c>
      <c r="J354" s="5">
        <f t="shared" si="48"/>
        <v>2905.3819444444443</v>
      </c>
      <c r="K354" s="5">
        <f t="shared" si="49"/>
        <v>2777.7777777777778</v>
      </c>
      <c r="L354" s="5">
        <f t="shared" si="50"/>
        <v>127.60416666669947</v>
      </c>
      <c r="M354" s="5">
        <f>IF(E354&lt;=$B$3,$B$2-SUM($K$3:K354),0)</f>
        <v>22222.222222228651</v>
      </c>
      <c r="N354" s="2">
        <v>4.9000000000000004</v>
      </c>
      <c r="O354" s="1">
        <f t="shared" si="51"/>
        <v>6.125</v>
      </c>
      <c r="P354" s="1">
        <f t="shared" si="52"/>
        <v>5.1041666666666666E-3</v>
      </c>
      <c r="Q354" s="1">
        <f t="shared" si="53"/>
        <v>6.2515313091616163</v>
      </c>
    </row>
    <row r="355" spans="5:17" x14ac:dyDescent="0.2">
      <c r="E355" s="1">
        <v>353</v>
      </c>
      <c r="F355" s="4">
        <f t="shared" si="45"/>
        <v>6076.105395806896</v>
      </c>
      <c r="G355" s="4">
        <f t="shared" si="46"/>
        <v>5833.6008681207813</v>
      </c>
      <c r="H355" s="4">
        <f t="shared" si="47"/>
        <v>242.5045276861147</v>
      </c>
      <c r="I355" s="4">
        <f>IF($B$2-SUM($G$3:G355)&lt; 0.001,0,$B$2-SUM($G$3:G355))</f>
        <v>41677.490270393202</v>
      </c>
      <c r="J355" s="5">
        <f t="shared" si="48"/>
        <v>2891.2037037037039</v>
      </c>
      <c r="K355" s="5">
        <f t="shared" si="49"/>
        <v>2777.7777777777778</v>
      </c>
      <c r="L355" s="5">
        <f t="shared" si="50"/>
        <v>113.42592592595886</v>
      </c>
      <c r="M355" s="5">
        <f>IF(E355&lt;=$B$3,$B$2-SUM($K$3:K355),0)</f>
        <v>19444.444444450899</v>
      </c>
      <c r="N355" s="2">
        <v>4.9000000000000004</v>
      </c>
      <c r="O355" s="1">
        <f t="shared" si="51"/>
        <v>6.125</v>
      </c>
      <c r="P355" s="1">
        <f t="shared" si="52"/>
        <v>5.1041666666666666E-3</v>
      </c>
      <c r="Q355" s="1">
        <f t="shared" si="53"/>
        <v>6.2515313091616163</v>
      </c>
    </row>
    <row r="356" spans="5:17" x14ac:dyDescent="0.2">
      <c r="E356" s="1">
        <v>354</v>
      </c>
      <c r="F356" s="4">
        <f t="shared" si="45"/>
        <v>6076.105395806896</v>
      </c>
      <c r="G356" s="4">
        <f t="shared" si="46"/>
        <v>5863.3765392184814</v>
      </c>
      <c r="H356" s="4">
        <f t="shared" si="47"/>
        <v>212.72885658841554</v>
      </c>
      <c r="I356" s="4">
        <f>IF($B$2-SUM($G$3:G356)&lt; 0.001,0,$B$2-SUM($G$3:G356))</f>
        <v>35814.11373117473</v>
      </c>
      <c r="J356" s="5">
        <f t="shared" si="48"/>
        <v>2877.0254629629626</v>
      </c>
      <c r="K356" s="5">
        <f t="shared" si="49"/>
        <v>2777.7777777777778</v>
      </c>
      <c r="L356" s="5">
        <f t="shared" si="50"/>
        <v>99.247685185218259</v>
      </c>
      <c r="M356" s="5">
        <f>IF(E356&lt;=$B$3,$B$2-SUM($K$3:K356),0)</f>
        <v>16666.666666673147</v>
      </c>
      <c r="N356" s="2">
        <v>4.9000000000000004</v>
      </c>
      <c r="O356" s="1">
        <f t="shared" si="51"/>
        <v>6.125</v>
      </c>
      <c r="P356" s="1">
        <f t="shared" si="52"/>
        <v>5.1041666666666666E-3</v>
      </c>
      <c r="Q356" s="1">
        <f t="shared" si="53"/>
        <v>6.2515313091616163</v>
      </c>
    </row>
    <row r="357" spans="5:17" x14ac:dyDescent="0.2">
      <c r="E357" s="1">
        <v>355</v>
      </c>
      <c r="F357" s="4">
        <f t="shared" si="45"/>
        <v>6076.105395806896</v>
      </c>
      <c r="G357" s="4">
        <f t="shared" si="46"/>
        <v>5893.3041903040757</v>
      </c>
      <c r="H357" s="4">
        <f t="shared" si="47"/>
        <v>182.80120550282084</v>
      </c>
      <c r="I357" s="4">
        <f>IF($B$2-SUM($G$3:G357)&lt; 0.001,0,$B$2-SUM($G$3:G357))</f>
        <v>29920.809540870599</v>
      </c>
      <c r="J357" s="5">
        <f t="shared" si="48"/>
        <v>2862.8472222222222</v>
      </c>
      <c r="K357" s="5">
        <f t="shared" si="49"/>
        <v>2777.7777777777778</v>
      </c>
      <c r="L357" s="5">
        <f t="shared" si="50"/>
        <v>85.069444444477654</v>
      </c>
      <c r="M357" s="5">
        <f>IF(E357&lt;=$B$3,$B$2-SUM($K$3:K357),0)</f>
        <v>13888.888888895395</v>
      </c>
      <c r="N357" s="2">
        <v>4.9000000000000004</v>
      </c>
      <c r="O357" s="1">
        <f t="shared" si="51"/>
        <v>6.125</v>
      </c>
      <c r="P357" s="1">
        <f t="shared" si="52"/>
        <v>5.1041666666666666E-3</v>
      </c>
      <c r="Q357" s="1">
        <f t="shared" si="53"/>
        <v>6.2515313091616163</v>
      </c>
    </row>
    <row r="358" spans="5:17" x14ac:dyDescent="0.2">
      <c r="E358" s="1">
        <v>356</v>
      </c>
      <c r="F358" s="4">
        <f t="shared" si="45"/>
        <v>6076.105395806896</v>
      </c>
      <c r="G358" s="4">
        <f t="shared" si="46"/>
        <v>5923.384597108754</v>
      </c>
      <c r="H358" s="4">
        <f t="shared" si="47"/>
        <v>152.72079869814269</v>
      </c>
      <c r="I358" s="4">
        <f>IF($B$2-SUM($G$3:G358)&lt; 0.001,0,$B$2-SUM($G$3:G358))</f>
        <v>23997.4249437619</v>
      </c>
      <c r="J358" s="5">
        <f t="shared" si="48"/>
        <v>2848.6689814814813</v>
      </c>
      <c r="K358" s="5">
        <f t="shared" si="49"/>
        <v>2777.7777777777778</v>
      </c>
      <c r="L358" s="5">
        <f t="shared" si="50"/>
        <v>70.891203703737048</v>
      </c>
      <c r="M358" s="5">
        <f>IF(E358&lt;=$B$3,$B$2-SUM($K$3:K358),0)</f>
        <v>11111.111111117643</v>
      </c>
      <c r="N358" s="2">
        <v>4.9000000000000004</v>
      </c>
      <c r="O358" s="1">
        <f t="shared" si="51"/>
        <v>6.125</v>
      </c>
      <c r="P358" s="1">
        <f t="shared" si="52"/>
        <v>5.1041666666666666E-3</v>
      </c>
      <c r="Q358" s="1">
        <f t="shared" si="53"/>
        <v>6.2515313091616163</v>
      </c>
    </row>
    <row r="359" spans="5:17" x14ac:dyDescent="0.2">
      <c r="E359" s="1">
        <v>357</v>
      </c>
      <c r="F359" s="4">
        <f t="shared" si="45"/>
        <v>6076.105395806896</v>
      </c>
      <c r="G359" s="4">
        <f t="shared" si="46"/>
        <v>5953.6185393231626</v>
      </c>
      <c r="H359" s="4">
        <f t="shared" si="47"/>
        <v>122.48685648373441</v>
      </c>
      <c r="I359" s="4">
        <f>IF($B$2-SUM($G$3:G359)&lt; 0.001,0,$B$2-SUM($G$3:G359))</f>
        <v>18043.806404438685</v>
      </c>
      <c r="J359" s="5">
        <f t="shared" si="48"/>
        <v>2834.4907407407409</v>
      </c>
      <c r="K359" s="5">
        <f t="shared" si="49"/>
        <v>2777.7777777777778</v>
      </c>
      <c r="L359" s="5">
        <f t="shared" si="50"/>
        <v>56.712962962996436</v>
      </c>
      <c r="M359" s="5">
        <f>IF(E359&lt;=$B$3,$B$2-SUM($K$3:K359),0)</f>
        <v>8333.3333333398914</v>
      </c>
      <c r="N359" s="2">
        <v>4.9000000000000004</v>
      </c>
      <c r="O359" s="1">
        <f t="shared" si="51"/>
        <v>6.125</v>
      </c>
      <c r="P359" s="1">
        <f t="shared" si="52"/>
        <v>5.1041666666666666E-3</v>
      </c>
      <c r="Q359" s="1">
        <f t="shared" si="53"/>
        <v>6.2515313091616163</v>
      </c>
    </row>
    <row r="360" spans="5:17" x14ac:dyDescent="0.2">
      <c r="E360" s="1">
        <v>358</v>
      </c>
      <c r="F360" s="4">
        <f t="shared" si="45"/>
        <v>6076.105395806896</v>
      </c>
      <c r="G360" s="4">
        <f t="shared" si="46"/>
        <v>5984.0068006176252</v>
      </c>
      <c r="H360" s="4">
        <f t="shared" si="47"/>
        <v>92.098595189271137</v>
      </c>
      <c r="I360" s="4">
        <f>IF($B$2-SUM($G$3:G360)&lt; 0.001,0,$B$2-SUM($G$3:G360))</f>
        <v>12059.799603821011</v>
      </c>
      <c r="J360" s="5">
        <f t="shared" si="48"/>
        <v>2820.3125000000005</v>
      </c>
      <c r="K360" s="5">
        <f t="shared" si="49"/>
        <v>2777.7777777777778</v>
      </c>
      <c r="L360" s="5">
        <f t="shared" si="50"/>
        <v>42.534722222255823</v>
      </c>
      <c r="M360" s="5">
        <f>IF(E360&lt;=$B$3,$B$2-SUM($K$3:K360),0)</f>
        <v>5555.5555555621395</v>
      </c>
      <c r="N360" s="2">
        <v>4.9000000000000004</v>
      </c>
      <c r="O360" s="1">
        <f t="shared" si="51"/>
        <v>6.125</v>
      </c>
      <c r="P360" s="1">
        <f t="shared" si="52"/>
        <v>5.1041666666666666E-3</v>
      </c>
      <c r="Q360" s="1">
        <f t="shared" si="53"/>
        <v>6.2515313091616163</v>
      </c>
    </row>
    <row r="361" spans="5:17" x14ac:dyDescent="0.2">
      <c r="E361" s="1">
        <v>359</v>
      </c>
      <c r="F361" s="4">
        <f t="shared" si="45"/>
        <v>6076.105395806896</v>
      </c>
      <c r="G361" s="4">
        <f t="shared" si="46"/>
        <v>6014.5501686624448</v>
      </c>
      <c r="H361" s="4">
        <f t="shared" si="47"/>
        <v>61.555227144451365</v>
      </c>
      <c r="I361" s="4">
        <f>IF($B$2-SUM($G$3:G361)&lt; 0.001,0,$B$2-SUM($G$3:G361))</f>
        <v>6045.2494351585628</v>
      </c>
      <c r="J361" s="5">
        <f t="shared" si="48"/>
        <v>2806.1342592592591</v>
      </c>
      <c r="K361" s="5">
        <f t="shared" si="49"/>
        <v>2777.7777777777778</v>
      </c>
      <c r="L361" s="5">
        <f t="shared" si="50"/>
        <v>28.356481481515218</v>
      </c>
      <c r="M361" s="5">
        <f>IF(E361&lt;=$B$3,$B$2-SUM($K$3:K361),0)</f>
        <v>2777.7777777843876</v>
      </c>
      <c r="N361" s="2">
        <v>4.9000000000000004</v>
      </c>
      <c r="O361" s="1">
        <f t="shared" si="51"/>
        <v>6.125</v>
      </c>
      <c r="P361" s="1">
        <f t="shared" si="52"/>
        <v>5.1041666666666666E-3</v>
      </c>
      <c r="Q361" s="1">
        <f t="shared" si="53"/>
        <v>6.2515313091616163</v>
      </c>
    </row>
    <row r="362" spans="5:17" x14ac:dyDescent="0.2">
      <c r="E362" s="1">
        <v>360</v>
      </c>
      <c r="F362" s="4">
        <f t="shared" si="45"/>
        <v>6076.105395806896</v>
      </c>
      <c r="G362" s="4">
        <f t="shared" si="46"/>
        <v>6045.2494351483265</v>
      </c>
      <c r="H362" s="4">
        <f t="shared" si="47"/>
        <v>30.855960658569728</v>
      </c>
      <c r="I362" s="4">
        <f>IF($B$2-SUM($G$3:G362)&lt; 0.001,0,$B$2-SUM($G$3:G362))</f>
        <v>0</v>
      </c>
      <c r="J362" s="5">
        <f t="shared" si="48"/>
        <v>2791.9560185185182</v>
      </c>
      <c r="K362" s="5">
        <f t="shared" si="49"/>
        <v>2777.7777777777778</v>
      </c>
      <c r="L362" s="5">
        <f t="shared" si="50"/>
        <v>14.17824074077461</v>
      </c>
      <c r="M362" s="5">
        <f>IF(E362&lt;=$B$3,$B$2-SUM($K$3:K362),0)</f>
        <v>6.6356733441352844E-9</v>
      </c>
      <c r="N362" s="2">
        <v>4.9000000000000004</v>
      </c>
      <c r="O362" s="1">
        <f t="shared" si="51"/>
        <v>6.125</v>
      </c>
      <c r="P362" s="1">
        <f t="shared" si="52"/>
        <v>5.1041666666666666E-3</v>
      </c>
      <c r="Q362" s="1">
        <f t="shared" si="53"/>
        <v>6.2515313091616163</v>
      </c>
    </row>
  </sheetData>
  <mergeCells count="3">
    <mergeCell ref="J1:M1"/>
    <mergeCell ref="F1:I1"/>
    <mergeCell ref="A7:C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SHWY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</dc:creator>
  <cp:lastModifiedBy>LC</cp:lastModifiedBy>
  <dcterms:created xsi:type="dcterms:W3CDTF">2017-11-14T06:32:21Z</dcterms:created>
  <dcterms:modified xsi:type="dcterms:W3CDTF">2017-12-01T02:02:35Z</dcterms:modified>
</cp:coreProperties>
</file>